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1" sheetId="1" r:id="rId4"/>
    <sheet state="visible" name="Case 2" sheetId="2" r:id="rId5"/>
  </sheets>
  <definedNames/>
  <calcPr/>
  <extLst>
    <ext uri="GoogleSheetsCustomDataVersion2">
      <go:sheetsCustomData xmlns:go="http://customooxmlschemas.google.com/" r:id="rId6" roundtripDataChecksum="ysfUYxNqAWj+gE6zUQATlNBB83JwhX2bXkKHJdm3P8U="/>
    </ext>
  </extLst>
</workbook>
</file>

<file path=xl/sharedStrings.xml><?xml version="1.0" encoding="utf-8"?>
<sst xmlns="http://schemas.openxmlformats.org/spreadsheetml/2006/main" count="216" uniqueCount="94">
  <si>
    <t>Alternatif</t>
  </si>
  <si>
    <t>Wawancara</t>
  </si>
  <si>
    <t>Psikotes</t>
  </si>
  <si>
    <t xml:space="preserve">TOEFL </t>
  </si>
  <si>
    <t>Test Bidang</t>
  </si>
  <si>
    <t>Karyawan 1</t>
  </si>
  <si>
    <t>Karyawan 2</t>
  </si>
  <si>
    <t>Karyawan 3</t>
  </si>
  <si>
    <t>Karyawan 4</t>
  </si>
  <si>
    <t>Karyawan 5</t>
  </si>
  <si>
    <t>Kriteria</t>
  </si>
  <si>
    <t>Range</t>
  </si>
  <si>
    <t>Bobot</t>
  </si>
  <si>
    <t>Wawancara, Psikotes, Test Bidang</t>
  </si>
  <si>
    <t>&lt; 60</t>
  </si>
  <si>
    <t>60 - 70</t>
  </si>
  <si>
    <t>71 - 80</t>
  </si>
  <si>
    <t>81 - 90</t>
  </si>
  <si>
    <t>91- 100</t>
  </si>
  <si>
    <t>TOEFL</t>
  </si>
  <si>
    <t>420 - 450</t>
  </si>
  <si>
    <t>451 - 500</t>
  </si>
  <si>
    <t>501 - 550</t>
  </si>
  <si>
    <t>551 - 600</t>
  </si>
  <si>
    <t>601 - 650</t>
  </si>
  <si>
    <t>Nilai Kompetensi Standar</t>
  </si>
  <si>
    <t>1. Buat tabel dan diinisiasi dengan nilai kompetensi standar</t>
  </si>
  <si>
    <t>Nilai standar</t>
  </si>
  <si>
    <t>2. Pembobotan</t>
  </si>
  <si>
    <t>TABEL PEMBOBOTAN</t>
  </si>
  <si>
    <t>No</t>
  </si>
  <si>
    <t>Gap</t>
  </si>
  <si>
    <t>Bobot Nilai</t>
  </si>
  <si>
    <t>Keterangan</t>
  </si>
  <si>
    <t>Tidak ada selisih</t>
  </si>
  <si>
    <t>Kompetensi individu kelebihan 1 level</t>
  </si>
  <si>
    <t>Kompetensi individu kelebihan 2 level</t>
  </si>
  <si>
    <t>Kompetensi individu kelebihan 3 level</t>
  </si>
  <si>
    <t>Kompetensi individu kelebihan 4 level</t>
  </si>
  <si>
    <t>3. Konversikan</t>
  </si>
  <si>
    <t>Bobot setelah dikonversi</t>
  </si>
  <si>
    <t>4. Penentuan Core Factor dan Second Factor</t>
  </si>
  <si>
    <t>Core Factor (Wawancara, Test Bidang, TOEFL)</t>
  </si>
  <si>
    <t>Second Factor (Psikotes)</t>
  </si>
  <si>
    <t>Core Factor</t>
  </si>
  <si>
    <t>Second Factor</t>
  </si>
  <si>
    <t>Total</t>
  </si>
  <si>
    <t>Aspek Kognitif</t>
  </si>
  <si>
    <t>Aspek Afektif</t>
  </si>
  <si>
    <t>Ak1</t>
  </si>
  <si>
    <t>Ak2</t>
  </si>
  <si>
    <t>Ak3</t>
  </si>
  <si>
    <t>Ak4</t>
  </si>
  <si>
    <t>Aa1</t>
  </si>
  <si>
    <t>Aa2</t>
  </si>
  <si>
    <t>Aa3</t>
  </si>
  <si>
    <t>Aa4</t>
  </si>
  <si>
    <t>Aa5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</si>
  <si>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</si>
  <si>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</si>
  <si>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</si>
  <si>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</si>
  <si>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</si>
  <si>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</si>
  <si>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</si>
  <si>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</si>
  <si>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</si>
  <si>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</si>
  <si>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Standar</t>
  </si>
  <si>
    <t>Test Tertulis (Ak1)</t>
  </si>
  <si>
    <t>-</t>
  </si>
  <si>
    <t>Test Interview (Ak2)</t>
  </si>
  <si>
    <t>Test Logika (Ak3)</t>
  </si>
  <si>
    <t>Test Kepemimpinan (Ak4)</t>
  </si>
  <si>
    <t>Minat (Aa1)</t>
  </si>
  <si>
    <t>Kepribadian (Aa2)</t>
  </si>
  <si>
    <t>Pengalaman (Aa3)</t>
  </si>
  <si>
    <t>Sikap (Aa4)</t>
  </si>
  <si>
    <t>Kreatif (Aa5)</t>
  </si>
  <si>
    <t>INISIASI DENGAN NILAI STANDAR</t>
  </si>
  <si>
    <t>NILAI STANDAR</t>
  </si>
  <si>
    <t>NILAI BOBOT SETELAH DIKONVERSI</t>
  </si>
  <si>
    <t>CORE FACTOR</t>
  </si>
  <si>
    <t>SECOND FACTOR</t>
  </si>
  <si>
    <t>TOTAL</t>
  </si>
  <si>
    <t>RANK</t>
  </si>
  <si>
    <t>ASPEK KOGNITIF</t>
  </si>
  <si>
    <t xml:space="preserve">RANK </t>
  </si>
  <si>
    <t>ASPEK AFEKTIF</t>
  </si>
  <si>
    <t>Karyawan 6</t>
  </si>
  <si>
    <t>Karyawan 7</t>
  </si>
  <si>
    <t>Karyawan 8</t>
  </si>
  <si>
    <t>Karyawan 9</t>
  </si>
  <si>
    <t>Karyawan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</si>
</sst>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Lexend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/>
    </xf>
    <xf borderId="6" fillId="0" fontId="2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8" fillId="0" fontId="1" numFmtId="0" xfId="0" applyBorder="1" applyFont="1"/>
    <xf borderId="8" fillId="2" fontId="1" numFmtId="0" xfId="0" applyBorder="1" applyFill="1" applyFont="1"/>
    <xf borderId="4" fillId="0" fontId="1" numFmtId="0" xfId="0" applyBorder="1" applyFont="1"/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3" numFmtId="0" xfId="0" applyFont="1"/>
    <xf borderId="9" fillId="0" fontId="1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9" xfId="0" applyAlignment="1" applyBorder="1" applyFont="1" applyNumberFormat="1">
      <alignment horizontal="center" vertical="center"/>
    </xf>
    <xf borderId="0" fillId="0" fontId="3" numFmtId="164" xfId="0" applyFont="1" applyNumberFormat="1"/>
    <xf borderId="5" fillId="0" fontId="1" numFmtId="0" xfId="0" applyBorder="1" applyFont="1"/>
    <xf borderId="2" fillId="0" fontId="1" numFmtId="0" xfId="0" applyAlignment="1" applyBorder="1" applyFont="1">
      <alignment horizontal="center" vertical="center"/>
    </xf>
    <xf borderId="2" fillId="0" fontId="1" numFmtId="9" xfId="0" applyAlignment="1" applyBorder="1" applyFont="1" applyNumberFormat="1">
      <alignment horizontal="center" vertical="center"/>
    </xf>
    <xf borderId="1" fillId="0" fontId="1" numFmtId="9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0" xfId="0" applyBorder="1" applyFont="1"/>
    <xf borderId="5" fillId="2" fontId="1" numFmtId="0" xfId="0" applyAlignment="1" applyBorder="1" applyFont="1">
      <alignment horizontal="center"/>
    </xf>
    <xf borderId="1" fillId="0" fontId="1" numFmtId="164" xfId="0" applyBorder="1" applyFont="1" applyNumberFormat="1"/>
    <xf borderId="1" fillId="3" fontId="1" numFmtId="0" xfId="0" applyBorder="1" applyFill="1" applyFont="1"/>
    <xf borderId="1" fillId="3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13"/>
    <col customWidth="1" min="2" max="3" width="12.63"/>
    <col customWidth="1" min="4" max="4" width="19.88"/>
    <col customWidth="1" min="5" max="6" width="12.63"/>
  </cols>
  <sheetData>
    <row r="1" ht="15.75" customHeight="1">
      <c r="A1" s="1"/>
      <c r="B1" s="1"/>
      <c r="C1" s="1"/>
      <c r="D1" s="1"/>
      <c r="E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5.75" customHeight="1">
      <c r="A3" s="2" t="s">
        <v>5</v>
      </c>
      <c r="B3" s="2">
        <v>93.0</v>
      </c>
      <c r="C3" s="2">
        <v>83.0</v>
      </c>
      <c r="D3" s="2">
        <v>510.0</v>
      </c>
      <c r="E3" s="2">
        <v>90.0</v>
      </c>
    </row>
    <row r="4" ht="15.75" customHeight="1">
      <c r="A4" s="2" t="s">
        <v>6</v>
      </c>
      <c r="B4" s="2">
        <v>79.0</v>
      </c>
      <c r="C4" s="2">
        <v>89.0</v>
      </c>
      <c r="D4" s="2">
        <v>520.0</v>
      </c>
      <c r="E4" s="2">
        <v>95.0</v>
      </c>
    </row>
    <row r="5" ht="15.75" customHeight="1">
      <c r="A5" s="2" t="s">
        <v>7</v>
      </c>
      <c r="B5" s="2">
        <v>87.0</v>
      </c>
      <c r="C5" s="2">
        <v>80.0</v>
      </c>
      <c r="D5" s="2">
        <v>555.0</v>
      </c>
      <c r="E5" s="2">
        <v>91.0</v>
      </c>
    </row>
    <row r="6" ht="15.75" customHeight="1">
      <c r="A6" s="2" t="s">
        <v>8</v>
      </c>
      <c r="B6" s="2">
        <v>92.0</v>
      </c>
      <c r="C6" s="2">
        <v>90.0</v>
      </c>
      <c r="D6" s="2">
        <v>545.0</v>
      </c>
      <c r="E6" s="2">
        <v>90.0</v>
      </c>
    </row>
    <row r="7" ht="15.75" customHeight="1">
      <c r="A7" s="2" t="s">
        <v>9</v>
      </c>
      <c r="B7" s="2">
        <v>94.0</v>
      </c>
      <c r="C7" s="2">
        <v>91.0</v>
      </c>
      <c r="D7" s="2">
        <v>505.0</v>
      </c>
      <c r="E7" s="2">
        <v>92.0</v>
      </c>
    </row>
    <row r="8" ht="15.75" customHeight="1">
      <c r="A8" s="3"/>
      <c r="B8" s="3"/>
      <c r="C8" s="3"/>
      <c r="D8" s="1"/>
      <c r="E8" s="1"/>
    </row>
    <row r="9" ht="15.75" customHeight="1">
      <c r="A9" s="4" t="s">
        <v>10</v>
      </c>
      <c r="B9" s="4" t="s">
        <v>11</v>
      </c>
      <c r="C9" s="4" t="s">
        <v>12</v>
      </c>
      <c r="D9" s="1"/>
      <c r="E9" s="1"/>
    </row>
    <row r="10" ht="15.75" customHeight="1">
      <c r="A10" s="5" t="s">
        <v>13</v>
      </c>
      <c r="B10" s="4" t="s">
        <v>14</v>
      </c>
      <c r="C10" s="4">
        <v>1.0</v>
      </c>
      <c r="D10" s="1"/>
      <c r="E10" s="1"/>
    </row>
    <row r="11" ht="15.75" customHeight="1">
      <c r="A11" s="6"/>
      <c r="B11" s="4" t="s">
        <v>15</v>
      </c>
      <c r="C11" s="4">
        <v>2.0</v>
      </c>
      <c r="D11" s="1"/>
      <c r="E11" s="1"/>
    </row>
    <row r="12" ht="15.75" customHeight="1">
      <c r="A12" s="6"/>
      <c r="B12" s="4" t="s">
        <v>16</v>
      </c>
      <c r="C12" s="4">
        <v>3.0</v>
      </c>
      <c r="D12" s="1"/>
      <c r="E12" s="1"/>
    </row>
    <row r="13" ht="15.75" customHeight="1">
      <c r="A13" s="6"/>
      <c r="B13" s="4" t="s">
        <v>17</v>
      </c>
      <c r="C13" s="4">
        <v>4.0</v>
      </c>
      <c r="D13" s="1"/>
      <c r="E13" s="1"/>
    </row>
    <row r="14" ht="15.75" customHeight="1">
      <c r="A14" s="7"/>
      <c r="B14" s="4" t="s">
        <v>18</v>
      </c>
      <c r="C14" s="4">
        <v>5.0</v>
      </c>
      <c r="D14" s="1"/>
      <c r="E14" s="1"/>
    </row>
    <row r="15" ht="15.75" customHeight="1">
      <c r="A15" s="1"/>
      <c r="B15" s="1"/>
      <c r="C15" s="1"/>
      <c r="D15" s="1"/>
      <c r="E15" s="1"/>
    </row>
    <row r="16" ht="15.75" customHeight="1">
      <c r="A16" s="4" t="s">
        <v>10</v>
      </c>
      <c r="B16" s="4" t="s">
        <v>11</v>
      </c>
      <c r="C16" s="4" t="s">
        <v>12</v>
      </c>
      <c r="D16" s="1"/>
      <c r="E16" s="1"/>
    </row>
    <row r="17" ht="15.75" customHeight="1">
      <c r="A17" s="5" t="s">
        <v>19</v>
      </c>
      <c r="B17" s="4" t="s">
        <v>20</v>
      </c>
      <c r="C17" s="4">
        <v>1.0</v>
      </c>
      <c r="D17" s="1"/>
      <c r="E17" s="1"/>
    </row>
    <row r="18" ht="15.75" customHeight="1">
      <c r="A18" s="6"/>
      <c r="B18" s="4" t="s">
        <v>21</v>
      </c>
      <c r="C18" s="4">
        <v>2.0</v>
      </c>
      <c r="D18" s="1"/>
      <c r="E18" s="1"/>
    </row>
    <row r="19" ht="15.75" customHeight="1">
      <c r="A19" s="6"/>
      <c r="B19" s="4" t="s">
        <v>22</v>
      </c>
      <c r="C19" s="4">
        <v>3.0</v>
      </c>
      <c r="D19" s="1"/>
      <c r="E19" s="1"/>
    </row>
    <row r="20" ht="15.75" customHeight="1">
      <c r="A20" s="6"/>
      <c r="B20" s="4" t="s">
        <v>23</v>
      </c>
      <c r="C20" s="4">
        <v>4.0</v>
      </c>
      <c r="D20" s="1"/>
      <c r="E20" s="1"/>
    </row>
    <row r="21" ht="15.75" customHeight="1">
      <c r="A21" s="7"/>
      <c r="B21" s="4" t="s">
        <v>24</v>
      </c>
      <c r="C21" s="4">
        <v>5.0</v>
      </c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8" t="s">
        <v>25</v>
      </c>
      <c r="B23" s="9"/>
      <c r="C23" s="9"/>
      <c r="D23" s="10"/>
      <c r="E23" s="1"/>
    </row>
    <row r="24" ht="15.75" customHeight="1">
      <c r="A24" s="11" t="s">
        <v>1</v>
      </c>
      <c r="B24" s="11" t="s">
        <v>2</v>
      </c>
      <c r="C24" s="11" t="s">
        <v>4</v>
      </c>
      <c r="D24" s="11" t="s">
        <v>19</v>
      </c>
      <c r="E24" s="1"/>
    </row>
    <row r="25" ht="15.75" customHeight="1">
      <c r="A25" s="11">
        <v>5.0</v>
      </c>
      <c r="B25" s="11">
        <v>4.0</v>
      </c>
      <c r="C25" s="11">
        <v>5.0</v>
      </c>
      <c r="D25" s="11">
        <v>4.0</v>
      </c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 t="s">
        <v>26</v>
      </c>
      <c r="B27" s="1"/>
      <c r="C27" s="1"/>
      <c r="D27" s="1"/>
      <c r="E27" s="1"/>
    </row>
    <row r="28" ht="15.75" customHeight="1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</row>
    <row r="29" ht="15.75" customHeight="1">
      <c r="A29" s="2" t="s">
        <v>5</v>
      </c>
      <c r="B29" s="2">
        <v>5.0</v>
      </c>
      <c r="C29" s="2">
        <v>4.0</v>
      </c>
      <c r="D29" s="2">
        <v>3.0</v>
      </c>
      <c r="E29" s="2">
        <v>4.0</v>
      </c>
    </row>
    <row r="30" ht="15.75" customHeight="1">
      <c r="A30" s="2" t="s">
        <v>6</v>
      </c>
      <c r="B30" s="2">
        <v>3.0</v>
      </c>
      <c r="C30" s="2">
        <v>4.0</v>
      </c>
      <c r="D30" s="2">
        <v>3.0</v>
      </c>
      <c r="E30" s="2">
        <v>5.0</v>
      </c>
    </row>
    <row r="31" ht="15.75" customHeight="1">
      <c r="A31" s="2" t="s">
        <v>7</v>
      </c>
      <c r="B31" s="2">
        <v>4.0</v>
      </c>
      <c r="C31" s="2">
        <v>3.0</v>
      </c>
      <c r="D31" s="2">
        <v>4.0</v>
      </c>
      <c r="E31" s="2">
        <v>5.0</v>
      </c>
    </row>
    <row r="32" ht="15.75" customHeight="1">
      <c r="A32" s="2" t="s">
        <v>8</v>
      </c>
      <c r="B32" s="2">
        <v>5.0</v>
      </c>
      <c r="C32" s="2">
        <v>4.0</v>
      </c>
      <c r="D32" s="2">
        <v>3.0</v>
      </c>
      <c r="E32" s="2">
        <v>4.0</v>
      </c>
    </row>
    <row r="33" ht="15.75" customHeight="1">
      <c r="A33" s="12" t="s">
        <v>9</v>
      </c>
      <c r="B33" s="12">
        <v>5.0</v>
      </c>
      <c r="C33" s="12">
        <v>5.0</v>
      </c>
      <c r="D33" s="12">
        <v>3.0</v>
      </c>
      <c r="E33" s="12">
        <v>5.0</v>
      </c>
    </row>
    <row r="34" ht="15.75" customHeight="1">
      <c r="A34" s="13" t="s">
        <v>27</v>
      </c>
      <c r="B34" s="14">
        <v>5.0</v>
      </c>
      <c r="C34" s="14">
        <v>4.0</v>
      </c>
      <c r="D34" s="14">
        <v>4.0</v>
      </c>
      <c r="E34" s="14">
        <v>5.0</v>
      </c>
    </row>
    <row r="35" ht="15.75" customHeight="1">
      <c r="A35" s="15" t="s">
        <v>5</v>
      </c>
      <c r="B35" s="15">
        <f t="shared" ref="B35:B39" si="1">B29-$B$34</f>
        <v>0</v>
      </c>
      <c r="C35" s="15">
        <f t="shared" ref="C35:C39" si="2">C29-$C$34</f>
        <v>0</v>
      </c>
      <c r="D35" s="15">
        <f t="shared" ref="D35:D39" si="3">D29-$D$34</f>
        <v>-1</v>
      </c>
      <c r="E35" s="15">
        <f t="shared" ref="E35:E39" si="4">E29-$E$34</f>
        <v>-1</v>
      </c>
    </row>
    <row r="36" ht="15.75" customHeight="1">
      <c r="A36" s="2" t="s">
        <v>6</v>
      </c>
      <c r="B36" s="2">
        <f t="shared" si="1"/>
        <v>-2</v>
      </c>
      <c r="C36" s="2">
        <f t="shared" si="2"/>
        <v>0</v>
      </c>
      <c r="D36" s="2">
        <f t="shared" si="3"/>
        <v>-1</v>
      </c>
      <c r="E36" s="2">
        <f t="shared" si="4"/>
        <v>0</v>
      </c>
    </row>
    <row r="37" ht="15.75" customHeight="1">
      <c r="A37" s="2" t="s">
        <v>7</v>
      </c>
      <c r="B37" s="2">
        <f t="shared" si="1"/>
        <v>-1</v>
      </c>
      <c r="C37" s="2">
        <f t="shared" si="2"/>
        <v>-1</v>
      </c>
      <c r="D37" s="2">
        <f t="shared" si="3"/>
        <v>0</v>
      </c>
      <c r="E37" s="2">
        <f t="shared" si="4"/>
        <v>0</v>
      </c>
    </row>
    <row r="38" ht="15.75" customHeight="1">
      <c r="A38" s="2" t="s">
        <v>8</v>
      </c>
      <c r="B38" s="2">
        <f t="shared" si="1"/>
        <v>0</v>
      </c>
      <c r="C38" s="2">
        <f t="shared" si="2"/>
        <v>0</v>
      </c>
      <c r="D38" s="2">
        <f t="shared" si="3"/>
        <v>-1</v>
      </c>
      <c r="E38" s="2">
        <f t="shared" si="4"/>
        <v>-1</v>
      </c>
    </row>
    <row r="39" ht="15.75" customHeight="1">
      <c r="A39" s="2" t="s">
        <v>9</v>
      </c>
      <c r="B39" s="2">
        <f t="shared" si="1"/>
        <v>0</v>
      </c>
      <c r="C39" s="2">
        <f t="shared" si="2"/>
        <v>1</v>
      </c>
      <c r="D39" s="2">
        <f t="shared" si="3"/>
        <v>-1</v>
      </c>
      <c r="E39" s="2">
        <f t="shared" si="4"/>
        <v>0</v>
      </c>
    </row>
    <row r="40" ht="15.75" customHeight="1"/>
    <row r="41" ht="15.75" customHeight="1">
      <c r="A41" s="1" t="s">
        <v>28</v>
      </c>
      <c r="B41" s="1"/>
      <c r="C41" s="1"/>
      <c r="D41" s="1"/>
    </row>
    <row r="42" ht="15.75" customHeight="1">
      <c r="A42" s="16" t="s">
        <v>29</v>
      </c>
      <c r="B42" s="9"/>
      <c r="C42" s="9"/>
      <c r="D42" s="10"/>
    </row>
    <row r="43" ht="15.75" customHeight="1">
      <c r="A43" s="4" t="s">
        <v>30</v>
      </c>
      <c r="B43" s="4" t="s">
        <v>31</v>
      </c>
      <c r="C43" s="4" t="s">
        <v>32</v>
      </c>
      <c r="D43" s="17" t="s">
        <v>33</v>
      </c>
    </row>
    <row r="44" ht="15.75" customHeight="1">
      <c r="A44" s="4">
        <v>1.0</v>
      </c>
      <c r="B44" s="4">
        <v>0.0</v>
      </c>
      <c r="C44" s="4">
        <v>5.0</v>
      </c>
      <c r="D44" s="18" t="s">
        <v>34</v>
      </c>
    </row>
    <row r="45" ht="15.75" customHeight="1">
      <c r="A45" s="4">
        <v>2.0</v>
      </c>
      <c r="B45" s="4">
        <v>1.0</v>
      </c>
      <c r="C45" s="4">
        <v>4.5</v>
      </c>
      <c r="D45" s="18" t="s">
        <v>35</v>
      </c>
    </row>
    <row r="46" ht="15.75" customHeight="1">
      <c r="A46" s="4">
        <v>3.0</v>
      </c>
      <c r="B46" s="4">
        <v>-1.0</v>
      </c>
      <c r="C46" s="4">
        <v>4.0</v>
      </c>
      <c r="D46" s="18" t="s">
        <v>35</v>
      </c>
    </row>
    <row r="47" ht="15.75" customHeight="1">
      <c r="A47" s="4">
        <v>4.0</v>
      </c>
      <c r="B47" s="4">
        <v>2.0</v>
      </c>
      <c r="C47" s="4">
        <v>3.5</v>
      </c>
      <c r="D47" s="18" t="s">
        <v>36</v>
      </c>
    </row>
    <row r="48" ht="15.75" customHeight="1">
      <c r="A48" s="4">
        <v>5.0</v>
      </c>
      <c r="B48" s="4">
        <v>-2.0</v>
      </c>
      <c r="C48" s="4">
        <v>3.0</v>
      </c>
      <c r="D48" s="18" t="s">
        <v>36</v>
      </c>
    </row>
    <row r="49" ht="15.75" customHeight="1">
      <c r="A49" s="4">
        <v>6.0</v>
      </c>
      <c r="B49" s="4">
        <v>3.0</v>
      </c>
      <c r="C49" s="4">
        <v>2.5</v>
      </c>
      <c r="D49" s="18" t="s">
        <v>37</v>
      </c>
    </row>
    <row r="50" ht="15.75" customHeight="1">
      <c r="A50" s="4">
        <v>7.0</v>
      </c>
      <c r="B50" s="4">
        <v>-3.0</v>
      </c>
      <c r="C50" s="4">
        <v>2.0</v>
      </c>
      <c r="D50" s="18" t="s">
        <v>37</v>
      </c>
    </row>
    <row r="51" ht="15.75" customHeight="1">
      <c r="A51" s="4">
        <v>8.0</v>
      </c>
      <c r="B51" s="4">
        <v>4.0</v>
      </c>
      <c r="C51" s="4">
        <v>1.5</v>
      </c>
      <c r="D51" s="18" t="s">
        <v>38</v>
      </c>
    </row>
    <row r="52" ht="15.75" customHeight="1">
      <c r="A52" s="4">
        <v>9.0</v>
      </c>
      <c r="B52" s="4">
        <v>-4.0</v>
      </c>
      <c r="C52" s="4">
        <v>1.0</v>
      </c>
      <c r="D52" s="18" t="s">
        <v>38</v>
      </c>
    </row>
    <row r="53" ht="15.75" customHeight="1"/>
    <row r="54" ht="15.75" customHeight="1">
      <c r="A54" s="19" t="s">
        <v>39</v>
      </c>
    </row>
    <row r="55" ht="15.75" customHeight="1">
      <c r="A55" s="2" t="s">
        <v>0</v>
      </c>
      <c r="B55" s="2" t="s">
        <v>1</v>
      </c>
      <c r="C55" s="2" t="s">
        <v>2</v>
      </c>
      <c r="D55" s="2" t="s">
        <v>3</v>
      </c>
      <c r="E55" s="2" t="s">
        <v>4</v>
      </c>
    </row>
    <row r="56" ht="15.75" customHeight="1">
      <c r="A56" s="2" t="s">
        <v>5</v>
      </c>
      <c r="B56" s="15">
        <v>0.0</v>
      </c>
      <c r="C56" s="15">
        <v>0.0</v>
      </c>
      <c r="D56" s="15">
        <v>-1.0</v>
      </c>
      <c r="E56" s="15">
        <v>-1.0</v>
      </c>
    </row>
    <row r="57" ht="15.75" customHeight="1">
      <c r="A57" s="2" t="s">
        <v>6</v>
      </c>
      <c r="B57" s="2">
        <v>-2.0</v>
      </c>
      <c r="C57" s="2">
        <v>0.0</v>
      </c>
      <c r="D57" s="2">
        <v>-1.0</v>
      </c>
      <c r="E57" s="2">
        <v>0.0</v>
      </c>
    </row>
    <row r="58" ht="15.75" customHeight="1">
      <c r="A58" s="2" t="s">
        <v>7</v>
      </c>
      <c r="B58" s="2">
        <v>-1.0</v>
      </c>
      <c r="C58" s="2">
        <v>-1.0</v>
      </c>
      <c r="D58" s="2">
        <v>0.0</v>
      </c>
      <c r="E58" s="2">
        <v>0.0</v>
      </c>
    </row>
    <row r="59" ht="15.75" customHeight="1">
      <c r="A59" s="2" t="s">
        <v>8</v>
      </c>
      <c r="B59" s="2">
        <v>0.0</v>
      </c>
      <c r="C59" s="2">
        <v>0.0</v>
      </c>
      <c r="D59" s="2">
        <v>-1.0</v>
      </c>
      <c r="E59" s="2">
        <v>-1.0</v>
      </c>
    </row>
    <row r="60" ht="15.75" customHeight="1">
      <c r="A60" s="12" t="s">
        <v>9</v>
      </c>
      <c r="B60" s="2">
        <v>0.0</v>
      </c>
      <c r="C60" s="2">
        <v>1.0</v>
      </c>
      <c r="D60" s="2">
        <v>-1.0</v>
      </c>
      <c r="E60" s="2">
        <v>0.0</v>
      </c>
    </row>
    <row r="61" ht="15.75" customHeight="1">
      <c r="A61" s="20" t="s">
        <v>40</v>
      </c>
      <c r="B61" s="21"/>
      <c r="C61" s="21"/>
      <c r="D61" s="21"/>
      <c r="E61" s="22"/>
    </row>
    <row r="62" ht="15.75" customHeight="1">
      <c r="A62" s="15" t="s">
        <v>5</v>
      </c>
      <c r="B62" s="15">
        <v>5.0</v>
      </c>
      <c r="C62" s="15">
        <v>5.0</v>
      </c>
      <c r="D62" s="15">
        <v>4.0</v>
      </c>
      <c r="E62" s="15">
        <v>4.0</v>
      </c>
    </row>
    <row r="63" ht="15.75" customHeight="1">
      <c r="A63" s="2" t="s">
        <v>6</v>
      </c>
      <c r="B63" s="2">
        <v>3.0</v>
      </c>
      <c r="C63" s="2">
        <v>5.0</v>
      </c>
      <c r="D63" s="2">
        <v>4.0</v>
      </c>
      <c r="E63" s="2">
        <v>5.0</v>
      </c>
    </row>
    <row r="64" ht="15.75" customHeight="1">
      <c r="A64" s="2" t="s">
        <v>7</v>
      </c>
      <c r="B64" s="2">
        <v>4.0</v>
      </c>
      <c r="C64" s="2">
        <v>4.0</v>
      </c>
      <c r="D64" s="2">
        <v>5.0</v>
      </c>
      <c r="E64" s="2">
        <v>5.0</v>
      </c>
    </row>
    <row r="65" ht="15.75" customHeight="1">
      <c r="A65" s="2" t="s">
        <v>8</v>
      </c>
      <c r="B65" s="2">
        <v>5.0</v>
      </c>
      <c r="C65" s="2">
        <v>5.0</v>
      </c>
      <c r="D65" s="2">
        <v>4.0</v>
      </c>
      <c r="E65" s="2">
        <v>4.0</v>
      </c>
    </row>
    <row r="66" ht="15.75" customHeight="1">
      <c r="A66" s="2" t="s">
        <v>9</v>
      </c>
      <c r="B66" s="2">
        <v>5.0</v>
      </c>
      <c r="C66" s="2">
        <v>4.5</v>
      </c>
      <c r="D66" s="2">
        <v>4.0</v>
      </c>
      <c r="E66" s="2">
        <v>5.0</v>
      </c>
    </row>
    <row r="67" ht="15.75" customHeight="1"/>
    <row r="68" ht="15.75" customHeight="1">
      <c r="A68" s="1" t="s">
        <v>41</v>
      </c>
      <c r="B68" s="1"/>
    </row>
    <row r="69" ht="15.75" customHeight="1">
      <c r="A69" s="23" t="s">
        <v>42</v>
      </c>
      <c r="B69" s="24">
        <v>0.7</v>
      </c>
    </row>
    <row r="70" ht="15.75" customHeight="1">
      <c r="A70" s="23" t="s">
        <v>43</v>
      </c>
      <c r="B70" s="24">
        <v>0.3</v>
      </c>
    </row>
    <row r="71" ht="15.75" customHeight="1"/>
    <row r="72" ht="15.75" customHeight="1">
      <c r="A72" s="2" t="s">
        <v>0</v>
      </c>
      <c r="B72" s="11" t="s">
        <v>44</v>
      </c>
      <c r="C72" s="11" t="s">
        <v>45</v>
      </c>
      <c r="D72" s="19" t="s">
        <v>46</v>
      </c>
    </row>
    <row r="73" ht="15.75" customHeight="1">
      <c r="A73" s="2" t="s">
        <v>5</v>
      </c>
      <c r="B73" s="2">
        <f t="shared" ref="B73:B77" si="5">AVERAGE(B62,D62,E62)</f>
        <v>4.333333333</v>
      </c>
      <c r="C73" s="2">
        <f t="shared" ref="C73:C77" si="6">C62</f>
        <v>5</v>
      </c>
      <c r="D73" s="25">
        <f t="shared" ref="D73:D77" si="7">(B73*$B$69)+(C73*$B$70)</f>
        <v>4.533333333</v>
      </c>
      <c r="E73" s="19">
        <v>2.0</v>
      </c>
    </row>
    <row r="74" ht="15.75" customHeight="1">
      <c r="A74" s="2" t="s">
        <v>6</v>
      </c>
      <c r="B74" s="2">
        <f t="shared" si="5"/>
        <v>4</v>
      </c>
      <c r="C74" s="2">
        <f t="shared" si="6"/>
        <v>5</v>
      </c>
      <c r="D74" s="25">
        <f t="shared" si="7"/>
        <v>4.3</v>
      </c>
      <c r="E74" s="19">
        <v>4.0</v>
      </c>
    </row>
    <row r="75" ht="15.75" customHeight="1">
      <c r="A75" s="2" t="s">
        <v>7</v>
      </c>
      <c r="B75" s="2">
        <f t="shared" si="5"/>
        <v>4.666666667</v>
      </c>
      <c r="C75" s="2">
        <f t="shared" si="6"/>
        <v>4</v>
      </c>
      <c r="D75" s="25">
        <f t="shared" si="7"/>
        <v>4.466666667</v>
      </c>
      <c r="E75" s="19">
        <v>3.0</v>
      </c>
    </row>
    <row r="76" ht="15.75" customHeight="1">
      <c r="A76" s="2" t="s">
        <v>8</v>
      </c>
      <c r="B76" s="2">
        <f t="shared" si="5"/>
        <v>4.333333333</v>
      </c>
      <c r="C76" s="2">
        <f t="shared" si="6"/>
        <v>5</v>
      </c>
      <c r="D76" s="25">
        <f t="shared" si="7"/>
        <v>4.533333333</v>
      </c>
      <c r="E76" s="19">
        <v>2.0</v>
      </c>
    </row>
    <row r="77" ht="15.75" customHeight="1">
      <c r="A77" s="2" t="s">
        <v>9</v>
      </c>
      <c r="B77" s="2">
        <f t="shared" si="5"/>
        <v>4.666666667</v>
      </c>
      <c r="C77" s="2">
        <f t="shared" si="6"/>
        <v>4.5</v>
      </c>
      <c r="D77" s="25">
        <f t="shared" si="7"/>
        <v>4.616666667</v>
      </c>
      <c r="E77" s="19">
        <v>1.0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0:A14"/>
    <mergeCell ref="A17:A21"/>
    <mergeCell ref="A23:D23"/>
    <mergeCell ref="A42:D42"/>
    <mergeCell ref="A61:E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1.88"/>
    <col customWidth="1" min="3" max="3" width="18.75"/>
    <col customWidth="1" min="4" max="4" width="21.38"/>
    <col customWidth="1" min="5" max="5" width="12.63"/>
    <col customWidth="1" min="6" max="6" width="16.5"/>
    <col customWidth="1" min="8" max="8" width="16.25"/>
  </cols>
  <sheetData>
    <row r="1" ht="15.75" customHeight="1">
      <c r="A1" s="2"/>
      <c r="B1" s="26" t="s">
        <v>47</v>
      </c>
      <c r="C1" s="9"/>
      <c r="D1" s="9"/>
      <c r="E1" s="10"/>
      <c r="F1" s="26" t="s">
        <v>48</v>
      </c>
      <c r="G1" s="9"/>
      <c r="H1" s="9"/>
      <c r="I1" s="10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58</v>
      </c>
      <c r="B3" s="2">
        <v>2.0</v>
      </c>
      <c r="C3" s="2">
        <v>3.0</v>
      </c>
      <c r="D3" s="2">
        <v>4.0</v>
      </c>
      <c r="E3" s="2">
        <v>2.0</v>
      </c>
      <c r="F3" s="2">
        <v>3.0</v>
      </c>
      <c r="G3" s="2">
        <v>4.0</v>
      </c>
      <c r="H3" s="2">
        <v>5.0</v>
      </c>
      <c r="I3" s="2">
        <v>4.0</v>
      </c>
      <c r="J3" s="2">
        <v>2.0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59</v>
      </c>
      <c r="B4" s="2">
        <v>4.0</v>
      </c>
      <c r="C4" s="2">
        <v>2.0</v>
      </c>
      <c r="D4" s="2">
        <v>4.0</v>
      </c>
      <c r="E4" s="2">
        <v>4.0</v>
      </c>
      <c r="F4" s="2">
        <v>4.0</v>
      </c>
      <c r="G4" s="2">
        <v>3.0</v>
      </c>
      <c r="H4" s="2">
        <v>2.0</v>
      </c>
      <c r="I4" s="2">
        <v>5.0</v>
      </c>
      <c r="J4" s="2">
        <v>3.0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60</v>
      </c>
      <c r="B5" s="2">
        <v>5.0</v>
      </c>
      <c r="C5" s="2">
        <v>3.0</v>
      </c>
      <c r="D5" s="2">
        <v>3.0</v>
      </c>
      <c r="E5" s="2">
        <v>5.0</v>
      </c>
      <c r="F5" s="2">
        <v>2.0</v>
      </c>
      <c r="G5" s="2">
        <v>4.0</v>
      </c>
      <c r="H5" s="2">
        <v>4.0</v>
      </c>
      <c r="I5" s="2">
        <v>4.0</v>
      </c>
      <c r="J5" s="2">
        <v>5.0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61</v>
      </c>
      <c r="B6" s="2">
        <v>4.0</v>
      </c>
      <c r="C6" s="2">
        <v>4.0</v>
      </c>
      <c r="D6" s="2">
        <v>3.0</v>
      </c>
      <c r="E6" s="2">
        <v>3.0</v>
      </c>
      <c r="F6" s="2">
        <v>3.0</v>
      </c>
      <c r="G6" s="2">
        <v>3.0</v>
      </c>
      <c r="H6" s="2">
        <v>5.0</v>
      </c>
      <c r="I6" s="2">
        <v>2.0</v>
      </c>
      <c r="J6" s="2">
        <v>5.0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62</v>
      </c>
      <c r="B7" s="2">
        <v>2.0</v>
      </c>
      <c r="C7" s="2">
        <v>5.0</v>
      </c>
      <c r="D7" s="2">
        <v>4.0</v>
      </c>
      <c r="E7" s="2">
        <v>2.0</v>
      </c>
      <c r="F7" s="2">
        <v>5.0</v>
      </c>
      <c r="G7" s="2">
        <v>3.0</v>
      </c>
      <c r="H7" s="2">
        <v>3.0</v>
      </c>
      <c r="I7" s="2">
        <v>3.0</v>
      </c>
      <c r="J7" s="2">
        <v>4.0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63</v>
      </c>
      <c r="B8" s="2">
        <v>4.0</v>
      </c>
      <c r="C8" s="2">
        <v>3.0</v>
      </c>
      <c r="D8" s="2">
        <v>5.0</v>
      </c>
      <c r="E8" s="2">
        <v>4.0</v>
      </c>
      <c r="F8" s="2">
        <v>4.0</v>
      </c>
      <c r="G8" s="2">
        <v>4.0</v>
      </c>
      <c r="H8" s="2">
        <v>2.0</v>
      </c>
      <c r="I8" s="2">
        <v>3.0</v>
      </c>
      <c r="J8" s="2">
        <v>2.0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64</v>
      </c>
      <c r="B9" s="2">
        <v>5.0</v>
      </c>
      <c r="C9" s="2">
        <v>4.0</v>
      </c>
      <c r="D9" s="2">
        <v>4.0</v>
      </c>
      <c r="E9" s="2">
        <v>3.0</v>
      </c>
      <c r="F9" s="2">
        <v>3.0</v>
      </c>
      <c r="G9" s="2">
        <v>5.0</v>
      </c>
      <c r="H9" s="2">
        <v>4.0</v>
      </c>
      <c r="I9" s="2">
        <v>4.0</v>
      </c>
      <c r="J9" s="2">
        <v>4.0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65</v>
      </c>
      <c r="B10" s="2">
        <v>3.0</v>
      </c>
      <c r="C10" s="2">
        <v>3.0</v>
      </c>
      <c r="D10" s="2">
        <v>2.0</v>
      </c>
      <c r="E10" s="2">
        <v>3.0</v>
      </c>
      <c r="F10" s="2">
        <v>4.0</v>
      </c>
      <c r="G10" s="2">
        <v>4.0</v>
      </c>
      <c r="H10" s="2">
        <v>3.0</v>
      </c>
      <c r="I10" s="2">
        <v>5.0</v>
      </c>
      <c r="J10" s="2">
        <v>5.0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66</v>
      </c>
      <c r="B11" s="2">
        <v>2.0</v>
      </c>
      <c r="C11" s="2">
        <v>4.0</v>
      </c>
      <c r="D11" s="2">
        <v>4.0</v>
      </c>
      <c r="E11" s="2">
        <v>2.0</v>
      </c>
      <c r="F11" s="2">
        <v>5.0</v>
      </c>
      <c r="G11" s="2">
        <v>2.0</v>
      </c>
      <c r="H11" s="2">
        <v>3.0</v>
      </c>
      <c r="I11" s="2">
        <v>4.0</v>
      </c>
      <c r="J11" s="2">
        <v>2.0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67</v>
      </c>
      <c r="B12" s="2">
        <v>5.0</v>
      </c>
      <c r="C12" s="2">
        <v>5.0</v>
      </c>
      <c r="D12" s="2">
        <v>5.0</v>
      </c>
      <c r="E12" s="2">
        <v>2.0</v>
      </c>
      <c r="F12" s="2">
        <v>4.0</v>
      </c>
      <c r="G12" s="2">
        <v>4.0</v>
      </c>
      <c r="H12" s="2">
        <v>5.0</v>
      </c>
      <c r="I12" s="2">
        <v>2.0</v>
      </c>
      <c r="J12" s="2">
        <v>5.0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10</v>
      </c>
      <c r="B14" s="2"/>
      <c r="C14" s="2" t="s">
        <v>12</v>
      </c>
      <c r="D14" s="2" t="s">
        <v>68</v>
      </c>
      <c r="E14" s="2" t="s">
        <v>44</v>
      </c>
      <c r="F14" s="2" t="s">
        <v>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7" t="s">
        <v>47</v>
      </c>
      <c r="B15" s="2" t="s">
        <v>69</v>
      </c>
      <c r="C15" s="28">
        <v>0.6</v>
      </c>
      <c r="D15" s="11">
        <v>3.0</v>
      </c>
      <c r="E15" s="29">
        <v>0.7</v>
      </c>
      <c r="F15" s="11" t="s">
        <v>70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6"/>
      <c r="B16" s="2" t="s">
        <v>71</v>
      </c>
      <c r="C16" s="6"/>
      <c r="D16" s="11">
        <v>3.0</v>
      </c>
      <c r="E16" s="29">
        <v>0.7</v>
      </c>
      <c r="F16" s="11" t="s"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6"/>
      <c r="B17" s="2" t="s">
        <v>72</v>
      </c>
      <c r="C17" s="6"/>
      <c r="D17" s="11">
        <v>3.0</v>
      </c>
      <c r="E17" s="29">
        <v>0.7</v>
      </c>
      <c r="F17" s="11" t="s">
        <v>70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7"/>
      <c r="B18" s="2" t="s">
        <v>73</v>
      </c>
      <c r="C18" s="7"/>
      <c r="D18" s="11">
        <v>4.0</v>
      </c>
      <c r="E18" s="11" t="s">
        <v>70</v>
      </c>
      <c r="F18" s="29">
        <v>0.3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7" t="s">
        <v>48</v>
      </c>
      <c r="B19" s="2" t="s">
        <v>74</v>
      </c>
      <c r="C19" s="28">
        <v>0.4</v>
      </c>
      <c r="D19" s="11">
        <v>4.0</v>
      </c>
      <c r="E19" s="11" t="s">
        <v>70</v>
      </c>
      <c r="F19" s="29">
        <v>0.3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"/>
      <c r="B20" s="2" t="s">
        <v>75</v>
      </c>
      <c r="C20" s="6"/>
      <c r="D20" s="11">
        <v>4.0</v>
      </c>
      <c r="E20" s="29">
        <v>0.7</v>
      </c>
      <c r="F20" s="1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/>
      <c r="B21" s="2" t="s">
        <v>76</v>
      </c>
      <c r="C21" s="6"/>
      <c r="D21" s="11">
        <v>3.0</v>
      </c>
      <c r="E21" s="29">
        <v>0.7</v>
      </c>
      <c r="F21" s="11" t="s">
        <v>70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"/>
      <c r="B22" s="2" t="s">
        <v>77</v>
      </c>
      <c r="C22" s="6"/>
      <c r="D22" s="11">
        <v>4.0</v>
      </c>
      <c r="E22" s="29">
        <v>0.7</v>
      </c>
      <c r="F22" s="11" t="s">
        <v>70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7"/>
      <c r="B23" s="2" t="s">
        <v>78</v>
      </c>
      <c r="C23" s="7"/>
      <c r="D23" s="11">
        <v>3.0</v>
      </c>
      <c r="E23" s="11"/>
      <c r="F23" s="29">
        <v>0.3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6" t="s">
        <v>29</v>
      </c>
      <c r="B25" s="30"/>
      <c r="C25" s="30"/>
      <c r="D25" s="3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4" t="s">
        <v>30</v>
      </c>
      <c r="B26" s="4" t="s">
        <v>31</v>
      </c>
      <c r="C26" s="4" t="s">
        <v>32</v>
      </c>
      <c r="D26" s="17" t="s">
        <v>33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4">
        <v>1.0</v>
      </c>
      <c r="B27" s="4">
        <v>0.0</v>
      </c>
      <c r="C27" s="4">
        <v>5.0</v>
      </c>
      <c r="D27" s="18" t="s">
        <v>34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">
        <v>2.0</v>
      </c>
      <c r="B28" s="4">
        <v>1.0</v>
      </c>
      <c r="C28" s="4">
        <v>4.5</v>
      </c>
      <c r="D28" s="18" t="s">
        <v>35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">
        <v>3.0</v>
      </c>
      <c r="B29" s="4">
        <v>-1.0</v>
      </c>
      <c r="C29" s="4">
        <v>4.0</v>
      </c>
      <c r="D29" s="18" t="s">
        <v>35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4">
        <v>4.0</v>
      </c>
      <c r="B30" s="4">
        <v>2.0</v>
      </c>
      <c r="C30" s="4">
        <v>3.5</v>
      </c>
      <c r="D30" s="18" t="s">
        <v>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4">
        <v>5.0</v>
      </c>
      <c r="B31" s="4">
        <v>-2.0</v>
      </c>
      <c r="C31" s="4">
        <v>3.0</v>
      </c>
      <c r="D31" s="18" t="s">
        <v>36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4">
        <v>6.0</v>
      </c>
      <c r="B32" s="4">
        <v>3.0</v>
      </c>
      <c r="C32" s="4">
        <v>2.5</v>
      </c>
      <c r="D32" s="18" t="s">
        <v>37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4">
        <v>7.0</v>
      </c>
      <c r="B33" s="4">
        <v>-3.0</v>
      </c>
      <c r="C33" s="4">
        <v>2.0</v>
      </c>
      <c r="D33" s="18" t="s">
        <v>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4">
        <v>8.0</v>
      </c>
      <c r="B34" s="4">
        <v>4.0</v>
      </c>
      <c r="C34" s="4">
        <v>1.5</v>
      </c>
      <c r="D34" s="18" t="s">
        <v>38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4">
        <v>9.0</v>
      </c>
      <c r="B35" s="4">
        <v>-4.0</v>
      </c>
      <c r="C35" s="4">
        <v>1.0</v>
      </c>
      <c r="D35" s="18" t="s">
        <v>38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79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"/>
      <c r="B39" s="8" t="s">
        <v>47</v>
      </c>
      <c r="C39" s="9"/>
      <c r="D39" s="9"/>
      <c r="E39" s="10"/>
      <c r="F39" s="8" t="s">
        <v>48</v>
      </c>
      <c r="G39" s="9"/>
      <c r="H39" s="9"/>
      <c r="I39" s="10"/>
      <c r="J39" s="1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"/>
      <c r="B40" s="11" t="s">
        <v>49</v>
      </c>
      <c r="C40" s="11" t="s">
        <v>50</v>
      </c>
      <c r="D40" s="11" t="s">
        <v>51</v>
      </c>
      <c r="E40" s="11" t="s">
        <v>52</v>
      </c>
      <c r="F40" s="11" t="s">
        <v>53</v>
      </c>
      <c r="G40" s="11" t="s">
        <v>54</v>
      </c>
      <c r="H40" s="11" t="s">
        <v>55</v>
      </c>
      <c r="I40" s="11" t="s">
        <v>56</v>
      </c>
      <c r="J40" s="11" t="s">
        <v>57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" t="s">
        <v>58</v>
      </c>
      <c r="B41" s="2">
        <v>2.0</v>
      </c>
      <c r="C41" s="2">
        <v>3.0</v>
      </c>
      <c r="D41" s="2">
        <v>4.0</v>
      </c>
      <c r="E41" s="2">
        <v>2.0</v>
      </c>
      <c r="F41" s="2">
        <v>3.0</v>
      </c>
      <c r="G41" s="2">
        <v>4.0</v>
      </c>
      <c r="H41" s="2">
        <v>5.0</v>
      </c>
      <c r="I41" s="2">
        <v>4.0</v>
      </c>
      <c r="J41" s="2">
        <v>2.0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" t="s">
        <v>59</v>
      </c>
      <c r="B42" s="2">
        <v>4.0</v>
      </c>
      <c r="C42" s="2">
        <v>2.0</v>
      </c>
      <c r="D42" s="2">
        <v>4.0</v>
      </c>
      <c r="E42" s="2">
        <v>4.0</v>
      </c>
      <c r="F42" s="2">
        <v>4.0</v>
      </c>
      <c r="G42" s="2">
        <v>3.0</v>
      </c>
      <c r="H42" s="2">
        <v>2.0</v>
      </c>
      <c r="I42" s="2">
        <v>5.0</v>
      </c>
      <c r="J42" s="2">
        <v>3.0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" t="s">
        <v>60</v>
      </c>
      <c r="B43" s="2">
        <v>5.0</v>
      </c>
      <c r="C43" s="2">
        <v>3.0</v>
      </c>
      <c r="D43" s="2">
        <v>3.0</v>
      </c>
      <c r="E43" s="2">
        <v>5.0</v>
      </c>
      <c r="F43" s="2">
        <v>2.0</v>
      </c>
      <c r="G43" s="2">
        <v>4.0</v>
      </c>
      <c r="H43" s="2">
        <v>4.0</v>
      </c>
      <c r="I43" s="2">
        <v>4.0</v>
      </c>
      <c r="J43" s="2">
        <v>5.0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" t="s">
        <v>61</v>
      </c>
      <c r="B44" s="2">
        <v>4.0</v>
      </c>
      <c r="C44" s="2">
        <v>4.0</v>
      </c>
      <c r="D44" s="2">
        <v>3.0</v>
      </c>
      <c r="E44" s="2">
        <v>3.0</v>
      </c>
      <c r="F44" s="2">
        <v>3.0</v>
      </c>
      <c r="G44" s="2">
        <v>3.0</v>
      </c>
      <c r="H44" s="2">
        <v>5.0</v>
      </c>
      <c r="I44" s="2">
        <v>2.0</v>
      </c>
      <c r="J44" s="2">
        <v>5.0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" t="s">
        <v>62</v>
      </c>
      <c r="B45" s="2">
        <v>2.0</v>
      </c>
      <c r="C45" s="2">
        <v>5.0</v>
      </c>
      <c r="D45" s="2">
        <v>4.0</v>
      </c>
      <c r="E45" s="2">
        <v>2.0</v>
      </c>
      <c r="F45" s="2">
        <v>5.0</v>
      </c>
      <c r="G45" s="2">
        <v>3.0</v>
      </c>
      <c r="H45" s="2">
        <v>3.0</v>
      </c>
      <c r="I45" s="2">
        <v>3.0</v>
      </c>
      <c r="J45" s="2">
        <v>4.0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 t="s">
        <v>63</v>
      </c>
      <c r="B46" s="2">
        <v>4.0</v>
      </c>
      <c r="C46" s="2">
        <v>3.0</v>
      </c>
      <c r="D46" s="2">
        <v>5.0</v>
      </c>
      <c r="E46" s="2">
        <v>4.0</v>
      </c>
      <c r="F46" s="2">
        <v>4.0</v>
      </c>
      <c r="G46" s="2">
        <v>4.0</v>
      </c>
      <c r="H46" s="2">
        <v>2.0</v>
      </c>
      <c r="I46" s="2">
        <v>3.0</v>
      </c>
      <c r="J46" s="2">
        <v>2.0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" t="s">
        <v>64</v>
      </c>
      <c r="B47" s="2">
        <v>5.0</v>
      </c>
      <c r="C47" s="2">
        <v>4.0</v>
      </c>
      <c r="D47" s="2">
        <v>4.0</v>
      </c>
      <c r="E47" s="2">
        <v>3.0</v>
      </c>
      <c r="F47" s="2">
        <v>3.0</v>
      </c>
      <c r="G47" s="2">
        <v>5.0</v>
      </c>
      <c r="H47" s="2">
        <v>4.0</v>
      </c>
      <c r="I47" s="2">
        <v>4.0</v>
      </c>
      <c r="J47" s="2">
        <v>4.0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 t="s">
        <v>65</v>
      </c>
      <c r="B48" s="2">
        <v>3.0</v>
      </c>
      <c r="C48" s="2">
        <v>3.0</v>
      </c>
      <c r="D48" s="2">
        <v>2.0</v>
      </c>
      <c r="E48" s="2">
        <v>3.0</v>
      </c>
      <c r="F48" s="2">
        <v>4.0</v>
      </c>
      <c r="G48" s="2">
        <v>4.0</v>
      </c>
      <c r="H48" s="2">
        <v>3.0</v>
      </c>
      <c r="I48" s="2">
        <v>5.0</v>
      </c>
      <c r="J48" s="2">
        <v>5.0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 t="s">
        <v>66</v>
      </c>
      <c r="B49" s="2">
        <v>2.0</v>
      </c>
      <c r="C49" s="2">
        <v>4.0</v>
      </c>
      <c r="D49" s="2">
        <v>4.0</v>
      </c>
      <c r="E49" s="2">
        <v>2.0</v>
      </c>
      <c r="F49" s="2">
        <v>5.0</v>
      </c>
      <c r="G49" s="2">
        <v>2.0</v>
      </c>
      <c r="H49" s="2">
        <v>3.0</v>
      </c>
      <c r="I49" s="2">
        <v>4.0</v>
      </c>
      <c r="J49" s="2">
        <v>2.0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" t="s">
        <v>67</v>
      </c>
      <c r="B50" s="2">
        <v>5.0</v>
      </c>
      <c r="C50" s="2">
        <v>5.0</v>
      </c>
      <c r="D50" s="2">
        <v>5.0</v>
      </c>
      <c r="E50" s="2">
        <v>2.0</v>
      </c>
      <c r="F50" s="2">
        <v>4.0</v>
      </c>
      <c r="G50" s="2">
        <v>4.0</v>
      </c>
      <c r="H50" s="2">
        <v>5.0</v>
      </c>
      <c r="I50" s="2">
        <v>2.0</v>
      </c>
      <c r="J50" s="2">
        <v>5.0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2" t="s">
        <v>80</v>
      </c>
      <c r="B51" s="33">
        <v>3.0</v>
      </c>
      <c r="C51" s="33">
        <v>3.0</v>
      </c>
      <c r="D51" s="33">
        <v>3.0</v>
      </c>
      <c r="E51" s="33">
        <v>4.0</v>
      </c>
      <c r="F51" s="33">
        <v>4.0</v>
      </c>
      <c r="G51" s="33">
        <v>4.0</v>
      </c>
      <c r="H51" s="33">
        <v>3.0</v>
      </c>
      <c r="I51" s="33">
        <v>4.0</v>
      </c>
      <c r="J51" s="33">
        <v>3.0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" t="s">
        <v>58</v>
      </c>
      <c r="B52" s="2">
        <f t="shared" ref="B52:B61" si="1">B41-$B$51</f>
        <v>-1</v>
      </c>
      <c r="C52" s="2">
        <f t="shared" ref="C52:C61" si="2">C41-$C$51</f>
        <v>0</v>
      </c>
      <c r="D52" s="2">
        <f t="shared" ref="D52:D61" si="3">D41-$D$51</f>
        <v>1</v>
      </c>
      <c r="E52" s="2">
        <f t="shared" ref="E52:E61" si="4">E41-$E$51</f>
        <v>-2</v>
      </c>
      <c r="F52" s="2">
        <f t="shared" ref="F52:F61" si="5">F41-$F$51</f>
        <v>-1</v>
      </c>
      <c r="G52" s="2">
        <f t="shared" ref="G52:G61" si="6">G41-$G$51</f>
        <v>0</v>
      </c>
      <c r="H52" s="2">
        <f t="shared" ref="H52:H61" si="7">H41-$H$51</f>
        <v>2</v>
      </c>
      <c r="I52" s="2">
        <f t="shared" ref="I52:I61" si="8">I41-$I$51</f>
        <v>0</v>
      </c>
      <c r="J52" s="2">
        <f t="shared" ref="J52:J61" si="9">J41-$J$51</f>
        <v>-1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" t="s">
        <v>59</v>
      </c>
      <c r="B53" s="2">
        <f t="shared" si="1"/>
        <v>1</v>
      </c>
      <c r="C53" s="2">
        <f t="shared" si="2"/>
        <v>-1</v>
      </c>
      <c r="D53" s="2">
        <f t="shared" si="3"/>
        <v>1</v>
      </c>
      <c r="E53" s="2">
        <f t="shared" si="4"/>
        <v>0</v>
      </c>
      <c r="F53" s="2">
        <f t="shared" si="5"/>
        <v>0</v>
      </c>
      <c r="G53" s="2">
        <f t="shared" si="6"/>
        <v>-1</v>
      </c>
      <c r="H53" s="2">
        <f t="shared" si="7"/>
        <v>-1</v>
      </c>
      <c r="I53" s="2">
        <f t="shared" si="8"/>
        <v>1</v>
      </c>
      <c r="J53" s="2">
        <f t="shared" si="9"/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" t="s">
        <v>60</v>
      </c>
      <c r="B54" s="2">
        <f t="shared" si="1"/>
        <v>2</v>
      </c>
      <c r="C54" s="2">
        <f t="shared" si="2"/>
        <v>0</v>
      </c>
      <c r="D54" s="2">
        <f t="shared" si="3"/>
        <v>0</v>
      </c>
      <c r="E54" s="2">
        <f t="shared" si="4"/>
        <v>1</v>
      </c>
      <c r="F54" s="2">
        <f t="shared" si="5"/>
        <v>-2</v>
      </c>
      <c r="G54" s="2">
        <f t="shared" si="6"/>
        <v>0</v>
      </c>
      <c r="H54" s="2">
        <f t="shared" si="7"/>
        <v>1</v>
      </c>
      <c r="I54" s="2">
        <f t="shared" si="8"/>
        <v>0</v>
      </c>
      <c r="J54" s="2">
        <f t="shared" si="9"/>
        <v>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" t="s">
        <v>61</v>
      </c>
      <c r="B55" s="2">
        <f t="shared" si="1"/>
        <v>1</v>
      </c>
      <c r="C55" s="2">
        <f t="shared" si="2"/>
        <v>1</v>
      </c>
      <c r="D55" s="2">
        <f t="shared" si="3"/>
        <v>0</v>
      </c>
      <c r="E55" s="2">
        <f t="shared" si="4"/>
        <v>-1</v>
      </c>
      <c r="F55" s="2">
        <f t="shared" si="5"/>
        <v>-1</v>
      </c>
      <c r="G55" s="2">
        <f t="shared" si="6"/>
        <v>-1</v>
      </c>
      <c r="H55" s="2">
        <f t="shared" si="7"/>
        <v>2</v>
      </c>
      <c r="I55" s="2">
        <f t="shared" si="8"/>
        <v>-2</v>
      </c>
      <c r="J55" s="2">
        <f t="shared" si="9"/>
        <v>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" t="s">
        <v>62</v>
      </c>
      <c r="B56" s="2">
        <f t="shared" si="1"/>
        <v>-1</v>
      </c>
      <c r="C56" s="2">
        <f t="shared" si="2"/>
        <v>2</v>
      </c>
      <c r="D56" s="2">
        <f t="shared" si="3"/>
        <v>1</v>
      </c>
      <c r="E56" s="2">
        <f t="shared" si="4"/>
        <v>-2</v>
      </c>
      <c r="F56" s="2">
        <f t="shared" si="5"/>
        <v>1</v>
      </c>
      <c r="G56" s="2">
        <f t="shared" si="6"/>
        <v>-1</v>
      </c>
      <c r="H56" s="2">
        <f t="shared" si="7"/>
        <v>0</v>
      </c>
      <c r="I56" s="2">
        <f t="shared" si="8"/>
        <v>-1</v>
      </c>
      <c r="J56" s="2">
        <f t="shared" si="9"/>
        <v>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" t="s">
        <v>63</v>
      </c>
      <c r="B57" s="2">
        <f t="shared" si="1"/>
        <v>1</v>
      </c>
      <c r="C57" s="2">
        <f t="shared" si="2"/>
        <v>0</v>
      </c>
      <c r="D57" s="2">
        <f t="shared" si="3"/>
        <v>2</v>
      </c>
      <c r="E57" s="2">
        <f t="shared" si="4"/>
        <v>0</v>
      </c>
      <c r="F57" s="2">
        <f t="shared" si="5"/>
        <v>0</v>
      </c>
      <c r="G57" s="2">
        <f t="shared" si="6"/>
        <v>0</v>
      </c>
      <c r="H57" s="2">
        <f t="shared" si="7"/>
        <v>-1</v>
      </c>
      <c r="I57" s="2">
        <f t="shared" si="8"/>
        <v>-1</v>
      </c>
      <c r="J57" s="2">
        <f t="shared" si="9"/>
        <v>-1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" t="s">
        <v>64</v>
      </c>
      <c r="B58" s="2">
        <f t="shared" si="1"/>
        <v>2</v>
      </c>
      <c r="C58" s="2">
        <f t="shared" si="2"/>
        <v>1</v>
      </c>
      <c r="D58" s="2">
        <f t="shared" si="3"/>
        <v>1</v>
      </c>
      <c r="E58" s="2">
        <f t="shared" si="4"/>
        <v>-1</v>
      </c>
      <c r="F58" s="2">
        <f t="shared" si="5"/>
        <v>-1</v>
      </c>
      <c r="G58" s="2">
        <f t="shared" si="6"/>
        <v>1</v>
      </c>
      <c r="H58" s="2">
        <f t="shared" si="7"/>
        <v>1</v>
      </c>
      <c r="I58" s="2">
        <f t="shared" si="8"/>
        <v>0</v>
      </c>
      <c r="J58" s="2">
        <f t="shared" si="9"/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 t="s">
        <v>65</v>
      </c>
      <c r="B59" s="2">
        <f t="shared" si="1"/>
        <v>0</v>
      </c>
      <c r="C59" s="2">
        <f t="shared" si="2"/>
        <v>0</v>
      </c>
      <c r="D59" s="2">
        <f t="shared" si="3"/>
        <v>-1</v>
      </c>
      <c r="E59" s="2">
        <f t="shared" si="4"/>
        <v>-1</v>
      </c>
      <c r="F59" s="2">
        <f t="shared" si="5"/>
        <v>0</v>
      </c>
      <c r="G59" s="2">
        <f t="shared" si="6"/>
        <v>0</v>
      </c>
      <c r="H59" s="2">
        <f t="shared" si="7"/>
        <v>0</v>
      </c>
      <c r="I59" s="2">
        <f t="shared" si="8"/>
        <v>1</v>
      </c>
      <c r="J59" s="2">
        <f t="shared" si="9"/>
        <v>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" t="s">
        <v>66</v>
      </c>
      <c r="B60" s="2">
        <f t="shared" si="1"/>
        <v>-1</v>
      </c>
      <c r="C60" s="2">
        <f t="shared" si="2"/>
        <v>1</v>
      </c>
      <c r="D60" s="2">
        <f t="shared" si="3"/>
        <v>1</v>
      </c>
      <c r="E60" s="2">
        <f t="shared" si="4"/>
        <v>-2</v>
      </c>
      <c r="F60" s="2">
        <f t="shared" si="5"/>
        <v>1</v>
      </c>
      <c r="G60" s="2">
        <f t="shared" si="6"/>
        <v>-2</v>
      </c>
      <c r="H60" s="2">
        <f t="shared" si="7"/>
        <v>0</v>
      </c>
      <c r="I60" s="2">
        <f t="shared" si="8"/>
        <v>0</v>
      </c>
      <c r="J60" s="2">
        <f t="shared" si="9"/>
        <v>-1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" t="s">
        <v>67</v>
      </c>
      <c r="B61" s="2">
        <f t="shared" si="1"/>
        <v>2</v>
      </c>
      <c r="C61" s="2">
        <f t="shared" si="2"/>
        <v>2</v>
      </c>
      <c r="D61" s="2">
        <f t="shared" si="3"/>
        <v>2</v>
      </c>
      <c r="E61" s="2">
        <f t="shared" si="4"/>
        <v>-2</v>
      </c>
      <c r="F61" s="2">
        <f t="shared" si="5"/>
        <v>0</v>
      </c>
      <c r="G61" s="2">
        <f t="shared" si="6"/>
        <v>0</v>
      </c>
      <c r="H61" s="2">
        <f t="shared" si="7"/>
        <v>2</v>
      </c>
      <c r="I61" s="2">
        <f t="shared" si="8"/>
        <v>-2</v>
      </c>
      <c r="J61" s="2">
        <f t="shared" si="9"/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4" t="s">
        <v>81</v>
      </c>
      <c r="B62" s="9"/>
      <c r="C62" s="9"/>
      <c r="D62" s="9"/>
      <c r="E62" s="9"/>
      <c r="F62" s="9"/>
      <c r="G62" s="9"/>
      <c r="H62" s="9"/>
      <c r="I62" s="9"/>
      <c r="J62" s="10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" t="s">
        <v>58</v>
      </c>
      <c r="B63" s="2">
        <v>4.0</v>
      </c>
      <c r="C63" s="2">
        <v>5.0</v>
      </c>
      <c r="D63" s="2">
        <v>4.5</v>
      </c>
      <c r="E63" s="2">
        <v>3.0</v>
      </c>
      <c r="F63" s="2">
        <v>4.0</v>
      </c>
      <c r="G63" s="2">
        <v>5.0</v>
      </c>
      <c r="H63" s="2">
        <v>3.5</v>
      </c>
      <c r="I63" s="2">
        <v>5.0</v>
      </c>
      <c r="J63" s="2">
        <v>4.0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" t="s">
        <v>59</v>
      </c>
      <c r="B64" s="2">
        <v>4.5</v>
      </c>
      <c r="C64" s="2">
        <v>4.0</v>
      </c>
      <c r="D64" s="2">
        <v>4.5</v>
      </c>
      <c r="E64" s="2">
        <v>5.0</v>
      </c>
      <c r="F64" s="2">
        <v>5.0</v>
      </c>
      <c r="G64" s="2">
        <v>4.0</v>
      </c>
      <c r="H64" s="2">
        <v>4.0</v>
      </c>
      <c r="I64" s="2">
        <v>4.5</v>
      </c>
      <c r="J64" s="2">
        <v>5.0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" t="s">
        <v>60</v>
      </c>
      <c r="B65" s="2">
        <v>3.5</v>
      </c>
      <c r="C65" s="2">
        <v>5.0</v>
      </c>
      <c r="D65" s="2">
        <v>5.0</v>
      </c>
      <c r="E65" s="2">
        <v>4.5</v>
      </c>
      <c r="F65" s="2">
        <v>3.0</v>
      </c>
      <c r="G65" s="2">
        <v>5.0</v>
      </c>
      <c r="H65" s="2">
        <v>4.5</v>
      </c>
      <c r="I65" s="2">
        <v>5.0</v>
      </c>
      <c r="J65" s="2">
        <v>3.5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 t="s">
        <v>61</v>
      </c>
      <c r="B66" s="2">
        <v>4.5</v>
      </c>
      <c r="C66" s="2">
        <v>4.5</v>
      </c>
      <c r="D66" s="2">
        <v>5.0</v>
      </c>
      <c r="E66" s="2">
        <v>4.0</v>
      </c>
      <c r="F66" s="2">
        <v>4.0</v>
      </c>
      <c r="G66" s="2">
        <v>4.0</v>
      </c>
      <c r="H66" s="2">
        <v>3.5</v>
      </c>
      <c r="I66" s="2">
        <v>3.0</v>
      </c>
      <c r="J66" s="2">
        <v>3.5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" t="s">
        <v>62</v>
      </c>
      <c r="B67" s="2">
        <v>4.0</v>
      </c>
      <c r="C67" s="2">
        <v>3.5</v>
      </c>
      <c r="D67" s="2">
        <v>4.5</v>
      </c>
      <c r="E67" s="2">
        <v>3.0</v>
      </c>
      <c r="F67" s="2">
        <v>4.5</v>
      </c>
      <c r="G67" s="2">
        <v>4.0</v>
      </c>
      <c r="H67" s="2">
        <v>5.0</v>
      </c>
      <c r="I67" s="2">
        <v>4.0</v>
      </c>
      <c r="J67" s="2">
        <v>4.5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" t="s">
        <v>63</v>
      </c>
      <c r="B68" s="2">
        <v>4.5</v>
      </c>
      <c r="C68" s="2">
        <v>5.0</v>
      </c>
      <c r="D68" s="2">
        <v>3.5</v>
      </c>
      <c r="E68" s="2">
        <v>5.0</v>
      </c>
      <c r="F68" s="2">
        <v>5.0</v>
      </c>
      <c r="G68" s="2">
        <v>5.0</v>
      </c>
      <c r="H68" s="2">
        <v>4.0</v>
      </c>
      <c r="I68" s="2">
        <v>4.0</v>
      </c>
      <c r="J68" s="2">
        <v>4.0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" t="s">
        <v>64</v>
      </c>
      <c r="B69" s="2">
        <v>3.5</v>
      </c>
      <c r="C69" s="2">
        <v>4.5</v>
      </c>
      <c r="D69" s="2">
        <v>4.5</v>
      </c>
      <c r="E69" s="2">
        <v>4.0</v>
      </c>
      <c r="F69" s="2">
        <v>4.0</v>
      </c>
      <c r="G69" s="2">
        <v>4.5</v>
      </c>
      <c r="H69" s="2">
        <v>4.5</v>
      </c>
      <c r="I69" s="2">
        <v>5.0</v>
      </c>
      <c r="J69" s="2">
        <v>4.5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" t="s">
        <v>65</v>
      </c>
      <c r="B70" s="2">
        <v>5.0</v>
      </c>
      <c r="C70" s="2">
        <v>5.0</v>
      </c>
      <c r="D70" s="2">
        <v>4.0</v>
      </c>
      <c r="E70" s="2">
        <v>4.0</v>
      </c>
      <c r="F70" s="2">
        <v>5.0</v>
      </c>
      <c r="G70" s="2">
        <v>5.0</v>
      </c>
      <c r="H70" s="2">
        <v>5.0</v>
      </c>
      <c r="I70" s="2">
        <v>4.5</v>
      </c>
      <c r="J70" s="2">
        <v>3.5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" t="s">
        <v>66</v>
      </c>
      <c r="B71" s="2">
        <v>4.0</v>
      </c>
      <c r="C71" s="2">
        <v>4.5</v>
      </c>
      <c r="D71" s="2">
        <v>4.5</v>
      </c>
      <c r="E71" s="2">
        <v>3.0</v>
      </c>
      <c r="F71" s="2">
        <v>4.5</v>
      </c>
      <c r="G71" s="2">
        <v>3.0</v>
      </c>
      <c r="H71" s="2">
        <v>5.0</v>
      </c>
      <c r="I71" s="2">
        <v>5.0</v>
      </c>
      <c r="J71" s="2">
        <v>4.0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" t="s">
        <v>67</v>
      </c>
      <c r="B72" s="2">
        <v>3.5</v>
      </c>
      <c r="C72" s="2">
        <v>3.5</v>
      </c>
      <c r="D72" s="2">
        <v>3.5</v>
      </c>
      <c r="E72" s="2">
        <v>3.0</v>
      </c>
      <c r="F72" s="2">
        <v>5.0</v>
      </c>
      <c r="G72" s="2">
        <v>5.0</v>
      </c>
      <c r="H72" s="2">
        <v>3.5</v>
      </c>
      <c r="I72" s="2">
        <v>3.0</v>
      </c>
      <c r="J72" s="2">
        <v>3.5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" t="s">
        <v>0</v>
      </c>
      <c r="B74" s="2" t="s">
        <v>82</v>
      </c>
      <c r="C74" s="2" t="s">
        <v>83</v>
      </c>
      <c r="D74" s="2" t="s">
        <v>84</v>
      </c>
      <c r="E74" s="2" t="s">
        <v>85</v>
      </c>
      <c r="F74" s="2" t="s">
        <v>86</v>
      </c>
      <c r="G74" s="2" t="s">
        <v>87</v>
      </c>
      <c r="H74" s="2" t="s">
        <v>88</v>
      </c>
      <c r="I74" s="2" t="s">
        <v>87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" t="s">
        <v>5</v>
      </c>
      <c r="B75" s="2">
        <f t="shared" ref="B75:B84" si="10">AVERAGE(B63:D63,G63:I63)</f>
        <v>4.5</v>
      </c>
      <c r="C75" s="2">
        <f t="shared" ref="C75:C84" si="11">AVERAGE(E63:F63,J63)</f>
        <v>3.666666667</v>
      </c>
      <c r="D75" s="2">
        <f t="shared" ref="D75:D84" si="12">(B75*$E$15)+(C75*$F$18)</f>
        <v>4.25</v>
      </c>
      <c r="E75" s="2">
        <v>6.0</v>
      </c>
      <c r="F75" s="35">
        <f t="shared" ref="F75:F84" si="13">D75*$C$15</f>
        <v>2.55</v>
      </c>
      <c r="G75" s="2">
        <v>6.0</v>
      </c>
      <c r="H75" s="2">
        <f t="shared" ref="H75:H84" si="14">D75*$C$19</f>
        <v>1.7</v>
      </c>
      <c r="I75" s="2">
        <v>6.0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" t="s">
        <v>6</v>
      </c>
      <c r="B76" s="2">
        <f t="shared" si="10"/>
        <v>4.25</v>
      </c>
      <c r="C76" s="2">
        <f t="shared" si="11"/>
        <v>5</v>
      </c>
      <c r="D76" s="36">
        <f t="shared" si="12"/>
        <v>4.475</v>
      </c>
      <c r="E76" s="36">
        <v>2.0</v>
      </c>
      <c r="F76" s="37">
        <f t="shared" si="13"/>
        <v>2.685</v>
      </c>
      <c r="G76" s="36">
        <v>2.0</v>
      </c>
      <c r="H76" s="36">
        <f t="shared" si="14"/>
        <v>1.79</v>
      </c>
      <c r="I76" s="36">
        <v>2.0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" t="s">
        <v>7</v>
      </c>
      <c r="B77" s="2">
        <f t="shared" si="10"/>
        <v>4.666666667</v>
      </c>
      <c r="C77" s="2">
        <f t="shared" si="11"/>
        <v>3.666666667</v>
      </c>
      <c r="D77" s="2">
        <f t="shared" si="12"/>
        <v>4.366666667</v>
      </c>
      <c r="E77" s="2">
        <v>4.0</v>
      </c>
      <c r="F77" s="35">
        <f t="shared" si="13"/>
        <v>2.62</v>
      </c>
      <c r="G77" s="2">
        <v>4.0</v>
      </c>
      <c r="H77" s="2">
        <f t="shared" si="14"/>
        <v>1.746666667</v>
      </c>
      <c r="I77" s="2">
        <v>4.0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" t="s">
        <v>8</v>
      </c>
      <c r="B78" s="2">
        <f t="shared" si="10"/>
        <v>4.083333333</v>
      </c>
      <c r="C78" s="2">
        <f t="shared" si="11"/>
        <v>3.833333333</v>
      </c>
      <c r="D78" s="2">
        <f t="shared" si="12"/>
        <v>4.008333333</v>
      </c>
      <c r="E78" s="2">
        <v>9.0</v>
      </c>
      <c r="F78" s="35">
        <f t="shared" si="13"/>
        <v>2.405</v>
      </c>
      <c r="G78" s="2">
        <v>9.0</v>
      </c>
      <c r="H78" s="2">
        <f t="shared" si="14"/>
        <v>1.603333333</v>
      </c>
      <c r="I78" s="2">
        <v>9.0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9</v>
      </c>
      <c r="B79" s="2">
        <f t="shared" si="10"/>
        <v>4.166666667</v>
      </c>
      <c r="C79" s="2">
        <f t="shared" si="11"/>
        <v>4</v>
      </c>
      <c r="D79" s="2">
        <f t="shared" si="12"/>
        <v>4.116666667</v>
      </c>
      <c r="E79" s="2">
        <v>8.0</v>
      </c>
      <c r="F79" s="35">
        <f t="shared" si="13"/>
        <v>2.47</v>
      </c>
      <c r="G79" s="2">
        <v>8.0</v>
      </c>
      <c r="H79" s="2">
        <f t="shared" si="14"/>
        <v>1.646666667</v>
      </c>
      <c r="I79" s="2">
        <v>8.0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" t="s">
        <v>89</v>
      </c>
      <c r="B80" s="2">
        <f t="shared" si="10"/>
        <v>4.333333333</v>
      </c>
      <c r="C80" s="2">
        <f t="shared" si="11"/>
        <v>4.666666667</v>
      </c>
      <c r="D80" s="36">
        <f t="shared" si="12"/>
        <v>4.433333333</v>
      </c>
      <c r="E80" s="36">
        <v>3.0</v>
      </c>
      <c r="F80" s="37">
        <f t="shared" si="13"/>
        <v>2.66</v>
      </c>
      <c r="G80" s="36">
        <v>3.0</v>
      </c>
      <c r="H80" s="36">
        <f t="shared" si="14"/>
        <v>1.773333333</v>
      </c>
      <c r="I80" s="36">
        <v>3.0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" t="s">
        <v>90</v>
      </c>
      <c r="B81" s="2">
        <f t="shared" si="10"/>
        <v>4.416666667</v>
      </c>
      <c r="C81" s="2">
        <f t="shared" si="11"/>
        <v>4.166666667</v>
      </c>
      <c r="D81" s="2">
        <f t="shared" si="12"/>
        <v>4.341666667</v>
      </c>
      <c r="E81" s="2">
        <v>5.0</v>
      </c>
      <c r="F81" s="35">
        <f t="shared" si="13"/>
        <v>2.605</v>
      </c>
      <c r="G81" s="2">
        <v>5.0</v>
      </c>
      <c r="H81" s="2">
        <f t="shared" si="14"/>
        <v>1.736666667</v>
      </c>
      <c r="I81" s="2">
        <v>5.0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" t="s">
        <v>91</v>
      </c>
      <c r="B82" s="2">
        <f t="shared" si="10"/>
        <v>4.75</v>
      </c>
      <c r="C82" s="2">
        <f t="shared" si="11"/>
        <v>4.166666667</v>
      </c>
      <c r="D82" s="36">
        <f t="shared" si="12"/>
        <v>4.575</v>
      </c>
      <c r="E82" s="36">
        <v>1.0</v>
      </c>
      <c r="F82" s="37">
        <f t="shared" si="13"/>
        <v>2.745</v>
      </c>
      <c r="G82" s="36">
        <v>1.0</v>
      </c>
      <c r="H82" s="36">
        <f t="shared" si="14"/>
        <v>1.83</v>
      </c>
      <c r="I82" s="36">
        <v>1.0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" t="s">
        <v>92</v>
      </c>
      <c r="B83" s="2">
        <f t="shared" si="10"/>
        <v>4.333333333</v>
      </c>
      <c r="C83" s="2">
        <f t="shared" si="11"/>
        <v>3.833333333</v>
      </c>
      <c r="D83" s="2">
        <f t="shared" si="12"/>
        <v>4.183333333</v>
      </c>
      <c r="E83" s="2">
        <v>7.0</v>
      </c>
      <c r="F83" s="35">
        <f t="shared" si="13"/>
        <v>2.51</v>
      </c>
      <c r="G83" s="2">
        <v>7.0</v>
      </c>
      <c r="H83" s="2">
        <f t="shared" si="14"/>
        <v>1.673333333</v>
      </c>
      <c r="I83" s="2">
        <v>7.0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2" t="s">
        <v>93</v>
      </c>
      <c r="B84" s="2">
        <f t="shared" si="10"/>
        <v>3.666666667</v>
      </c>
      <c r="C84" s="2">
        <f t="shared" si="11"/>
        <v>3.833333333</v>
      </c>
      <c r="D84" s="2">
        <f t="shared" si="12"/>
        <v>3.716666667</v>
      </c>
      <c r="E84" s="2">
        <v>10.0</v>
      </c>
      <c r="F84" s="35">
        <f t="shared" si="13"/>
        <v>2.23</v>
      </c>
      <c r="G84" s="2">
        <v>10.0</v>
      </c>
      <c r="H84" s="2">
        <f t="shared" si="14"/>
        <v>1.486666667</v>
      </c>
      <c r="I84" s="2">
        <v>10.0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39:I39"/>
    <mergeCell ref="A62:J62"/>
    <mergeCell ref="B1:E1"/>
    <mergeCell ref="F1:I1"/>
    <mergeCell ref="A15:A18"/>
    <mergeCell ref="C15:C18"/>
    <mergeCell ref="A19:A23"/>
    <mergeCell ref="C19:C23"/>
    <mergeCell ref="B39:E39"/>
  </mergeCells>
  <drawing r:id="rId1"/>
</worksheet>
</file>