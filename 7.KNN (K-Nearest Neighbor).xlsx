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Case 1" sheetId="2" r:id="rId5"/>
    <sheet state="visible" name="Case 2" sheetId="3" r:id="rId6"/>
  </sheets>
  <definedNames>
    <definedName hidden="1" localSheetId="1" name="_xlnm._FilterDatabase">'Case 1'!$A$1:$D$8</definedName>
    <definedName hidden="1" localSheetId="2" name="_xlnm._FilterDatabase">'Case 2'!$P$1:$S$24</definedName>
  </definedNames>
  <calcPr/>
  <extLst>
    <ext uri="GoogleSheetsCustomDataVersion2">
      <go:sheetsCustomData xmlns:go="http://customooxmlschemas.google.com/" r:id="rId7" roundtripDataChecksum="spzaZciJptXCOYSc8m2GDAMNjUWixAKQFTc00457MIM="/>
    </ext>
  </extLst>
</workbook>
</file>

<file path=xl/sharedStrings.xml><?xml version="1.0" encoding="utf-8"?>
<sst xmlns="http://schemas.openxmlformats.org/spreadsheetml/2006/main" count="113" uniqueCount="17">
  <si>
    <t>K-NN adalah sebuah metode klasifikasi terhadap sekumpulan data berdasarkan
pembelajaran data yang sudah terklasifikasikan sebelumya
Termasuk dalam supervised learning, dimana hasil query instance yang baru
diklasifikasikan berdasarkan mayoritas kedekatan jarak dari kategori yang ada
dalam K-NN.</t>
  </si>
  <si>
    <t>Age</t>
  </si>
  <si>
    <t>Income</t>
  </si>
  <si>
    <t>Class</t>
  </si>
  <si>
    <t>A</t>
  </si>
  <si>
    <t>B</t>
  </si>
  <si>
    <t>DATA TRAINING</t>
  </si>
  <si>
    <t>Atribut 1</t>
  </si>
  <si>
    <t>Atribut 2</t>
  </si>
  <si>
    <t>SQRT</t>
  </si>
  <si>
    <t>K = 5 (AKAR 21 = 4.5825 = 5)</t>
  </si>
  <si>
    <t>(+)</t>
  </si>
  <si>
    <t>-</t>
  </si>
  <si>
    <t>K = 5 (AKAR 22 = 4.690 = 5)</t>
  </si>
  <si>
    <t>K = 5 (AKAR 23 = 4.795 = 5)</t>
  </si>
  <si>
    <t>DATA TESTING</t>
  </si>
  <si>
    <t>?</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</si>
</sst>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font>
    <font>
      <color theme="1"/>
      <name val="Lexend"/>
    </font>
    <font>
      <b/>
      <color theme="1"/>
      <name val="Arial"/>
    </font>
    <font/>
  </fonts>
  <fills count="4">
    <fill>
      <patternFill patternType="none"/>
    </fill>
    <fill>
      <patternFill patternType="lightGray"/>
    </fill>
    <fill>
      <patternFill patternType="solid">
        <fgColor rgb="FF00FFFF"/>
        <bgColor rgb="FF00FFFF"/>
      </patternFill>
    </fill>
    <fill>
      <patternFill patternType="solid">
        <fgColor rgb="FFD9EAD3"/>
        <bgColor rgb="FFD9EAD3"/>
      </patternFill>
    </fill>
  </fills>
  <borders count="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Font="1"/>
    <xf borderId="0" fillId="2" fontId="1" numFmtId="0" xfId="0" applyFill="1" applyFont="1"/>
    <xf borderId="0" fillId="0" fontId="2" numFmtId="0" xfId="0" applyAlignment="1" applyFont="1">
      <alignment horizontal="center" readingOrder="0"/>
    </xf>
    <xf borderId="0" fillId="0" fontId="3" numFmtId="0" xfId="0" applyAlignment="1" applyFont="1">
      <alignment vertical="bottom"/>
    </xf>
    <xf borderId="0" fillId="0" fontId="1" numFmtId="0" xfId="0" applyAlignment="1" applyFont="1">
      <alignment vertical="bottom"/>
    </xf>
    <xf borderId="0" fillId="0" fontId="2" numFmtId="0" xfId="0" applyFont="1"/>
    <xf borderId="0" fillId="0" fontId="2" numFmtId="0" xfId="0" applyAlignment="1" applyFont="1">
      <alignment readingOrder="0"/>
    </xf>
    <xf borderId="0" fillId="0" fontId="1" numFmtId="0" xfId="0" applyAlignment="1" applyFont="1">
      <alignment horizontal="right" vertical="bottom"/>
    </xf>
    <xf borderId="0" fillId="3" fontId="1" numFmtId="0" xfId="0" applyFill="1" applyFont="1"/>
    <xf borderId="0" fillId="2" fontId="2" numFmtId="0" xfId="0" applyFont="1"/>
    <xf borderId="0" fillId="2" fontId="1" numFmtId="0" xfId="0" applyAlignment="1" applyFont="1">
      <alignment horizontal="right" vertical="bottom"/>
    </xf>
    <xf borderId="0" fillId="3" fontId="1" numFmtId="0" xfId="0" applyAlignment="1" applyFont="1">
      <alignment horizontal="right" vertical="bottom"/>
    </xf>
    <xf borderId="0" fillId="3" fontId="1" numFmtId="0" xfId="0" applyAlignment="1" applyFont="1">
      <alignment vertical="bottom"/>
    </xf>
    <xf borderId="0" fillId="0" fontId="2" numFmtId="0" xfId="0" applyFont="1"/>
    <xf borderId="1" fillId="0" fontId="2" numFmtId="0" xfId="0" applyAlignment="1" applyBorder="1" applyFont="1">
      <alignment horizontal="center" readingOrder="0"/>
    </xf>
    <xf borderId="2" fillId="0" fontId="4" numFmtId="0" xfId="0" applyBorder="1" applyFont="1"/>
    <xf borderId="3" fillId="0" fontId="4" numFmtId="0" xfId="0" applyBorder="1" applyFont="1"/>
    <xf borderId="0" fillId="2"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1</v>
      </c>
      <c r="B1" s="1" t="s">
        <v>2</v>
      </c>
      <c r="C1" s="1" t="s">
        <v>3</v>
      </c>
    </row>
    <row r="2" ht="15.75" customHeight="1">
      <c r="A2" s="2">
        <v>29.0</v>
      </c>
      <c r="B2" s="2">
        <v>350.0</v>
      </c>
      <c r="C2" s="2" t="s">
        <v>4</v>
      </c>
      <c r="D2" s="2">
        <f t="shared" ref="D2:D8" si="1">SQRT(($A$8-A2)^2+(($B$8-B2)^2))</f>
        <v>40.31128874</v>
      </c>
    </row>
    <row r="3" ht="15.75" customHeight="1">
      <c r="A3" s="1">
        <v>51.0</v>
      </c>
      <c r="B3" s="1">
        <v>430.0</v>
      </c>
      <c r="C3" s="1" t="s">
        <v>5</v>
      </c>
      <c r="D3" s="1">
        <f t="shared" si="1"/>
        <v>43.46262762</v>
      </c>
    </row>
    <row r="4" ht="15.75" customHeight="1">
      <c r="A4" s="1">
        <v>33.0</v>
      </c>
      <c r="B4" s="1">
        <v>290.0</v>
      </c>
      <c r="C4" s="1" t="s">
        <v>4</v>
      </c>
      <c r="D4" s="1">
        <f t="shared" si="1"/>
        <v>100.0049999</v>
      </c>
    </row>
    <row r="5" ht="15.75" customHeight="1">
      <c r="A5" s="1">
        <v>24.0</v>
      </c>
      <c r="B5" s="1">
        <v>255.0</v>
      </c>
      <c r="C5" s="1" t="s">
        <v>4</v>
      </c>
      <c r="D5" s="1">
        <f t="shared" si="1"/>
        <v>135.3698637</v>
      </c>
    </row>
    <row r="6" ht="15.75" customHeight="1">
      <c r="A6" s="2">
        <v>40.0</v>
      </c>
      <c r="B6" s="2">
        <v>410.0</v>
      </c>
      <c r="C6" s="2" t="s">
        <v>5</v>
      </c>
      <c r="D6" s="2">
        <f t="shared" si="1"/>
        <v>20.88061302</v>
      </c>
    </row>
    <row r="7" ht="15.75" customHeight="1">
      <c r="A7" s="2">
        <v>45.0</v>
      </c>
      <c r="B7" s="2">
        <v>380.0</v>
      </c>
      <c r="C7" s="2" t="s">
        <v>5</v>
      </c>
      <c r="D7" s="2">
        <f t="shared" si="1"/>
        <v>14.86606875</v>
      </c>
    </row>
    <row r="8" ht="15.75" customHeight="1">
      <c r="A8" s="1">
        <v>34.0</v>
      </c>
      <c r="B8" s="1">
        <v>390.0</v>
      </c>
      <c r="C8" s="1" t="s">
        <v>5</v>
      </c>
      <c r="D8" s="1">
        <f t="shared" si="1"/>
        <v>0</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8"/>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1.38"/>
    <col customWidth="1" min="6" max="6" width="12.63"/>
    <col customWidth="1" min="14" max="14" width="12.63"/>
  </cols>
  <sheetData>
    <row r="1" ht="15.75" customHeight="1">
      <c r="A1" s="3" t="s">
        <v>6</v>
      </c>
      <c r="K1" s="1" t="s">
        <v>7</v>
      </c>
      <c r="L1" s="1" t="s">
        <v>8</v>
      </c>
      <c r="M1" s="1" t="s">
        <v>3</v>
      </c>
      <c r="P1" s="4" t="s">
        <v>7</v>
      </c>
      <c r="Q1" s="4" t="s">
        <v>8</v>
      </c>
      <c r="R1" s="4" t="s">
        <v>3</v>
      </c>
      <c r="S1" s="5"/>
    </row>
    <row r="2" ht="15.75" customHeight="1">
      <c r="A2" s="6" t="s">
        <v>7</v>
      </c>
      <c r="B2" s="6" t="s">
        <v>8</v>
      </c>
      <c r="C2" s="6" t="s">
        <v>3</v>
      </c>
      <c r="D2" s="7" t="s">
        <v>9</v>
      </c>
      <c r="F2" s="1" t="s">
        <v>10</v>
      </c>
      <c r="K2" s="1">
        <v>2.4</v>
      </c>
      <c r="L2" s="1">
        <v>14.1</v>
      </c>
      <c r="M2" s="1" t="s">
        <v>11</v>
      </c>
      <c r="N2" s="1">
        <f t="shared" ref="N2:N23" si="1">SQRT(($K$23-K2)^2+(($L$23-L2)^2))</f>
        <v>17.95689283</v>
      </c>
      <c r="P2" s="8">
        <v>2.4</v>
      </c>
      <c r="Q2" s="8">
        <v>14.1</v>
      </c>
      <c r="R2" s="5" t="s">
        <v>11</v>
      </c>
      <c r="S2" s="8">
        <f t="shared" ref="S2:S24" si="2">SQRT(($P$24-P2)^2+(($Q$24-Q2)^2))</f>
        <v>18.2463695</v>
      </c>
    </row>
    <row r="3" ht="15.75" customHeight="1">
      <c r="A3" s="6">
        <v>2.4</v>
      </c>
      <c r="B3" s="6">
        <v>14.1</v>
      </c>
      <c r="C3" s="6" t="s">
        <v>11</v>
      </c>
      <c r="D3" s="6">
        <f t="shared" ref="D3:D22" si="3">SQRT(($A$25-A3)^2+(($B$25-B3)^2))</f>
        <v>15.44344521</v>
      </c>
      <c r="F3" s="1">
        <v>18.8</v>
      </c>
      <c r="G3" s="1">
        <v>3.2</v>
      </c>
      <c r="H3" s="1" t="s">
        <v>12</v>
      </c>
      <c r="I3" s="1">
        <f t="shared" ref="I3:I7" si="4">SQRT(($A$25-F3)^2+(($B$25-G3)^2))</f>
        <v>4.468780594</v>
      </c>
      <c r="K3" s="1">
        <v>0.6</v>
      </c>
      <c r="L3" s="1">
        <v>6.1</v>
      </c>
      <c r="M3" s="1" t="s">
        <v>12</v>
      </c>
      <c r="N3" s="1">
        <f t="shared" si="1"/>
        <v>17.15721423</v>
      </c>
      <c r="P3" s="8">
        <v>0.6</v>
      </c>
      <c r="Q3" s="8">
        <v>6.1</v>
      </c>
      <c r="R3" s="5" t="s">
        <v>12</v>
      </c>
      <c r="S3" s="8">
        <f t="shared" si="2"/>
        <v>18.10110494</v>
      </c>
    </row>
    <row r="4" ht="15.75" customHeight="1">
      <c r="A4" s="6">
        <v>0.6</v>
      </c>
      <c r="B4" s="6">
        <v>6.1</v>
      </c>
      <c r="C4" s="6" t="s">
        <v>12</v>
      </c>
      <c r="D4" s="6">
        <f t="shared" si="3"/>
        <v>15.30816775</v>
      </c>
      <c r="F4" s="1">
        <v>12.2</v>
      </c>
      <c r="G4" s="1">
        <v>6.3</v>
      </c>
      <c r="H4" s="1" t="s">
        <v>11</v>
      </c>
      <c r="I4" s="1">
        <f t="shared" si="4"/>
        <v>3.712142239</v>
      </c>
      <c r="K4" s="1">
        <v>1.2</v>
      </c>
      <c r="L4" s="1">
        <v>7.9</v>
      </c>
      <c r="M4" s="1" t="s">
        <v>12</v>
      </c>
      <c r="N4" s="1">
        <f t="shared" si="1"/>
        <v>16.80743883</v>
      </c>
      <c r="P4" s="8">
        <v>1.2</v>
      </c>
      <c r="Q4" s="8">
        <v>7.9</v>
      </c>
      <c r="R4" s="5" t="s">
        <v>12</v>
      </c>
      <c r="S4" s="8">
        <f t="shared" si="2"/>
        <v>17.61391495</v>
      </c>
    </row>
    <row r="5" ht="15.75" customHeight="1">
      <c r="A5" s="6">
        <v>1.2</v>
      </c>
      <c r="B5" s="6">
        <v>7.9</v>
      </c>
      <c r="C5" s="6" t="s">
        <v>12</v>
      </c>
      <c r="D5" s="6">
        <f t="shared" si="3"/>
        <v>14.75737104</v>
      </c>
      <c r="F5" s="1">
        <v>17.4</v>
      </c>
      <c r="G5" s="1">
        <v>4.3</v>
      </c>
      <c r="H5" s="1" t="s">
        <v>11</v>
      </c>
      <c r="I5" s="1">
        <f t="shared" si="4"/>
        <v>2.745906044</v>
      </c>
      <c r="K5" s="1">
        <v>1.9</v>
      </c>
      <c r="L5" s="1">
        <v>7.2</v>
      </c>
      <c r="M5" s="1" t="s">
        <v>12</v>
      </c>
      <c r="N5" s="1">
        <f t="shared" si="1"/>
        <v>15.99656213</v>
      </c>
      <c r="P5" s="8">
        <v>1.9</v>
      </c>
      <c r="Q5" s="8">
        <v>7.2</v>
      </c>
      <c r="R5" s="5" t="s">
        <v>12</v>
      </c>
      <c r="S5" s="8">
        <f t="shared" si="2"/>
        <v>16.85022255</v>
      </c>
    </row>
    <row r="6" ht="15.75" customHeight="1">
      <c r="A6" s="6">
        <v>1.9</v>
      </c>
      <c r="B6" s="6">
        <v>7.2</v>
      </c>
      <c r="C6" s="6" t="s">
        <v>12</v>
      </c>
      <c r="D6" s="6">
        <f t="shared" si="3"/>
        <v>14.01285124</v>
      </c>
      <c r="F6" s="1">
        <v>18.0</v>
      </c>
      <c r="G6" s="1">
        <v>6.7</v>
      </c>
      <c r="H6" s="1" t="s">
        <v>11</v>
      </c>
      <c r="I6" s="1">
        <f t="shared" si="4"/>
        <v>2.102379604</v>
      </c>
      <c r="K6" s="1">
        <v>13.8</v>
      </c>
      <c r="L6" s="1">
        <v>19.7</v>
      </c>
      <c r="M6" s="1" t="s">
        <v>12</v>
      </c>
      <c r="N6" s="1">
        <f t="shared" si="1"/>
        <v>15.49870962</v>
      </c>
      <c r="P6" s="8">
        <v>13.8</v>
      </c>
      <c r="Q6" s="8">
        <v>19.7</v>
      </c>
      <c r="R6" s="5" t="s">
        <v>12</v>
      </c>
      <c r="S6" s="8">
        <f t="shared" si="2"/>
        <v>14.64411144</v>
      </c>
    </row>
    <row r="7" ht="15.75" customHeight="1">
      <c r="A7" s="6">
        <v>13.8</v>
      </c>
      <c r="B7" s="6">
        <v>19.7</v>
      </c>
      <c r="C7" s="6" t="s">
        <v>12</v>
      </c>
      <c r="D7" s="6">
        <f t="shared" si="3"/>
        <v>13.26725292</v>
      </c>
      <c r="F7" s="1">
        <v>16.6</v>
      </c>
      <c r="G7" s="1">
        <v>6.5</v>
      </c>
      <c r="H7" s="1" t="s">
        <v>11</v>
      </c>
      <c r="I7" s="1">
        <f t="shared" si="4"/>
        <v>0.7071067812</v>
      </c>
      <c r="K7" s="1">
        <v>14.0</v>
      </c>
      <c r="L7" s="1">
        <v>18.3</v>
      </c>
      <c r="M7" s="1" t="s">
        <v>12</v>
      </c>
      <c r="N7" s="1">
        <f t="shared" si="1"/>
        <v>14.0943251</v>
      </c>
      <c r="P7" s="8">
        <v>6.6</v>
      </c>
      <c r="Q7" s="8">
        <v>12.4</v>
      </c>
      <c r="R7" s="5" t="s">
        <v>12</v>
      </c>
      <c r="S7" s="8">
        <f t="shared" si="2"/>
        <v>13.73535584</v>
      </c>
    </row>
    <row r="8" ht="15.75" customHeight="1">
      <c r="A8" s="6">
        <v>14.0</v>
      </c>
      <c r="B8" s="6">
        <v>18.3</v>
      </c>
      <c r="C8" s="6" t="s">
        <v>12</v>
      </c>
      <c r="D8" s="6">
        <f t="shared" si="3"/>
        <v>11.85326959</v>
      </c>
      <c r="F8" s="9">
        <v>17.7</v>
      </c>
      <c r="G8" s="9">
        <v>4.7</v>
      </c>
      <c r="H8" s="9" t="s">
        <v>11</v>
      </c>
      <c r="I8" s="9">
        <v>0.0</v>
      </c>
      <c r="K8" s="1">
        <v>6.6</v>
      </c>
      <c r="L8" s="1">
        <v>12.4</v>
      </c>
      <c r="M8" s="1" t="s">
        <v>12</v>
      </c>
      <c r="N8" s="1">
        <f t="shared" si="1"/>
        <v>13.50925609</v>
      </c>
      <c r="P8" s="8">
        <v>14.0</v>
      </c>
      <c r="Q8" s="8">
        <v>18.3</v>
      </c>
      <c r="R8" s="5" t="s">
        <v>12</v>
      </c>
      <c r="S8" s="8">
        <f t="shared" si="2"/>
        <v>13.26084462</v>
      </c>
    </row>
    <row r="9" ht="15.75" customHeight="1">
      <c r="A9" s="6">
        <v>6.6</v>
      </c>
      <c r="B9" s="6">
        <v>12.4</v>
      </c>
      <c r="C9" s="6" t="s">
        <v>12</v>
      </c>
      <c r="D9" s="6">
        <f t="shared" si="3"/>
        <v>10.9603832</v>
      </c>
      <c r="K9" s="1">
        <v>15.4</v>
      </c>
      <c r="L9" s="1">
        <v>17.2</v>
      </c>
      <c r="M9" s="1" t="s">
        <v>12</v>
      </c>
      <c r="N9" s="1">
        <f t="shared" si="1"/>
        <v>12.70983871</v>
      </c>
      <c r="P9" s="8">
        <v>15.4</v>
      </c>
      <c r="Q9" s="8">
        <v>17.2</v>
      </c>
      <c r="R9" s="5" t="s">
        <v>12</v>
      </c>
      <c r="S9" s="8">
        <f t="shared" si="2"/>
        <v>11.77200068</v>
      </c>
    </row>
    <row r="10" ht="15.75" customHeight="1">
      <c r="A10" s="6">
        <v>15.4</v>
      </c>
      <c r="B10" s="6">
        <v>17.2</v>
      </c>
      <c r="C10" s="6" t="s">
        <v>12</v>
      </c>
      <c r="D10" s="6">
        <f t="shared" si="3"/>
        <v>10.6117859</v>
      </c>
      <c r="F10" s="1" t="s">
        <v>13</v>
      </c>
      <c r="K10" s="1">
        <v>9.0</v>
      </c>
      <c r="L10" s="1">
        <v>11.4</v>
      </c>
      <c r="M10" s="1" t="s">
        <v>12</v>
      </c>
      <c r="N10" s="1">
        <f t="shared" si="1"/>
        <v>10.9808925</v>
      </c>
      <c r="P10" s="8">
        <v>9.0</v>
      </c>
      <c r="Q10" s="8">
        <v>11.4</v>
      </c>
      <c r="R10" s="5" t="s">
        <v>12</v>
      </c>
      <c r="S10" s="8">
        <f t="shared" si="2"/>
        <v>11.15078473</v>
      </c>
    </row>
    <row r="11" ht="15.75" customHeight="1">
      <c r="A11" s="6">
        <v>9.0</v>
      </c>
      <c r="B11" s="6">
        <v>11.4</v>
      </c>
      <c r="C11" s="6" t="s">
        <v>12</v>
      </c>
      <c r="D11" s="6">
        <f t="shared" si="3"/>
        <v>8.405355436</v>
      </c>
      <c r="F11" s="9">
        <v>15.9</v>
      </c>
      <c r="G11" s="9">
        <v>6.6</v>
      </c>
      <c r="H11" s="9" t="s">
        <v>11</v>
      </c>
      <c r="I11" s="9">
        <f t="shared" ref="I11:I16" si="5">SQRT(($K$23-F11)^2+(($L$23-G11)^2))</f>
        <v>2.617250466</v>
      </c>
      <c r="K11" s="1">
        <v>8.6</v>
      </c>
      <c r="L11" s="1">
        <v>9.6</v>
      </c>
      <c r="M11" s="1" t="s">
        <v>11</v>
      </c>
      <c r="N11" s="1">
        <f t="shared" si="1"/>
        <v>10.33537614</v>
      </c>
      <c r="P11" s="8">
        <v>8.6</v>
      </c>
      <c r="Q11" s="8">
        <v>9.6</v>
      </c>
      <c r="R11" s="5" t="s">
        <v>11</v>
      </c>
      <c r="S11" s="8">
        <f t="shared" si="2"/>
        <v>10.75639345</v>
      </c>
    </row>
    <row r="12" ht="15.75" customHeight="1">
      <c r="A12" s="6">
        <v>8.6</v>
      </c>
      <c r="B12" s="6">
        <v>9.6</v>
      </c>
      <c r="C12" s="6" t="s">
        <v>11</v>
      </c>
      <c r="D12" s="6">
        <f t="shared" si="3"/>
        <v>7.892401409</v>
      </c>
      <c r="F12" s="1">
        <v>16.6</v>
      </c>
      <c r="G12" s="1">
        <v>6.5</v>
      </c>
      <c r="H12" s="1" t="s">
        <v>11</v>
      </c>
      <c r="I12" s="1">
        <f t="shared" si="5"/>
        <v>2.109502311</v>
      </c>
      <c r="K12" s="1">
        <v>10.6</v>
      </c>
      <c r="L12" s="1">
        <v>9.4</v>
      </c>
      <c r="M12" s="1" t="s">
        <v>11</v>
      </c>
      <c r="N12" s="1">
        <f t="shared" si="1"/>
        <v>8.514693183</v>
      </c>
      <c r="P12" s="8">
        <v>10.6</v>
      </c>
      <c r="Q12" s="8">
        <v>9.4</v>
      </c>
      <c r="R12" s="5" t="s">
        <v>11</v>
      </c>
      <c r="S12" s="8">
        <f t="shared" si="2"/>
        <v>8.823831367</v>
      </c>
    </row>
    <row r="13" ht="15.75" customHeight="1">
      <c r="A13" s="6">
        <v>12.6</v>
      </c>
      <c r="B13" s="6">
        <v>0.9</v>
      </c>
      <c r="C13" s="6" t="s">
        <v>12</v>
      </c>
      <c r="D13" s="6">
        <f t="shared" si="3"/>
        <v>6.58634952</v>
      </c>
      <c r="F13" s="1">
        <v>18.0</v>
      </c>
      <c r="G13" s="1">
        <v>6.7</v>
      </c>
      <c r="H13" s="1" t="s">
        <v>11</v>
      </c>
      <c r="I13" s="1">
        <f t="shared" si="5"/>
        <v>2.022374842</v>
      </c>
      <c r="K13" s="1">
        <v>11.6</v>
      </c>
      <c r="L13" s="1">
        <v>9.7</v>
      </c>
      <c r="M13" s="1" t="s">
        <v>11</v>
      </c>
      <c r="N13" s="1">
        <f t="shared" si="1"/>
        <v>7.887331615</v>
      </c>
      <c r="P13" s="8">
        <v>11.6</v>
      </c>
      <c r="Q13" s="8">
        <v>9.7</v>
      </c>
      <c r="R13" s="5" t="s">
        <v>11</v>
      </c>
      <c r="S13" s="8">
        <f t="shared" si="2"/>
        <v>8.05294977</v>
      </c>
    </row>
    <row r="14" ht="15.75" customHeight="1">
      <c r="A14" s="6">
        <v>10.6</v>
      </c>
      <c r="B14" s="6">
        <v>9.4</v>
      </c>
      <c r="C14" s="6" t="s">
        <v>11</v>
      </c>
      <c r="D14" s="6">
        <f t="shared" si="3"/>
        <v>5.994163828</v>
      </c>
      <c r="F14" s="1">
        <v>18.8</v>
      </c>
      <c r="G14" s="1">
        <v>3.2</v>
      </c>
      <c r="H14" s="1" t="s">
        <v>12</v>
      </c>
      <c r="I14" s="1">
        <f t="shared" si="5"/>
        <v>1.860107524</v>
      </c>
      <c r="K14" s="1">
        <v>15.6</v>
      </c>
      <c r="L14" s="1">
        <v>12.0</v>
      </c>
      <c r="M14" s="1" t="s">
        <v>12</v>
      </c>
      <c r="N14" s="1">
        <f t="shared" si="1"/>
        <v>7.596051606</v>
      </c>
      <c r="P14" s="8">
        <v>12.6</v>
      </c>
      <c r="Q14" s="8">
        <v>0.9</v>
      </c>
      <c r="R14" s="5" t="s">
        <v>12</v>
      </c>
      <c r="S14" s="8">
        <f t="shared" si="2"/>
        <v>7.887331615</v>
      </c>
    </row>
    <row r="15" ht="15.75" customHeight="1">
      <c r="A15" s="6">
        <v>19.4</v>
      </c>
      <c r="B15" s="6">
        <v>10.9</v>
      </c>
      <c r="C15" s="6" t="s">
        <v>11</v>
      </c>
      <c r="D15" s="6">
        <f t="shared" si="3"/>
        <v>5.54436651</v>
      </c>
      <c r="F15" s="1">
        <v>17.4</v>
      </c>
      <c r="G15" s="1">
        <v>4.3</v>
      </c>
      <c r="H15" s="1" t="s">
        <v>11</v>
      </c>
      <c r="I15" s="1">
        <f t="shared" si="5"/>
        <v>0.5</v>
      </c>
      <c r="K15" s="1">
        <v>19.4</v>
      </c>
      <c r="L15" s="1">
        <v>10.9</v>
      </c>
      <c r="M15" s="1" t="s">
        <v>11</v>
      </c>
      <c r="N15" s="1">
        <f t="shared" si="1"/>
        <v>6.428841264</v>
      </c>
      <c r="P15" s="8">
        <v>15.6</v>
      </c>
      <c r="Q15" s="8">
        <v>12.0</v>
      </c>
      <c r="R15" s="5" t="s">
        <v>12</v>
      </c>
      <c r="S15" s="8">
        <f t="shared" si="2"/>
        <v>6.842514158</v>
      </c>
    </row>
    <row r="16" ht="15.75" customHeight="1">
      <c r="A16" s="6">
        <v>15.6</v>
      </c>
      <c r="B16" s="6">
        <v>12.0</v>
      </c>
      <c r="C16" s="6" t="s">
        <v>12</v>
      </c>
      <c r="D16" s="6">
        <f t="shared" si="3"/>
        <v>5.408326913</v>
      </c>
      <c r="F16" s="2">
        <v>17.7</v>
      </c>
      <c r="G16" s="2">
        <v>4.7</v>
      </c>
      <c r="H16" s="2" t="s">
        <v>11</v>
      </c>
      <c r="I16" s="2">
        <f t="shared" si="5"/>
        <v>0</v>
      </c>
      <c r="K16" s="1">
        <v>12.6</v>
      </c>
      <c r="L16" s="1">
        <v>0.9</v>
      </c>
      <c r="M16" s="1" t="s">
        <v>12</v>
      </c>
      <c r="N16" s="1">
        <f t="shared" si="1"/>
        <v>6.360031446</v>
      </c>
      <c r="P16" s="8">
        <v>12.2</v>
      </c>
      <c r="Q16" s="8">
        <v>6.3</v>
      </c>
      <c r="R16" s="5" t="s">
        <v>11</v>
      </c>
      <c r="S16" s="8">
        <f t="shared" si="2"/>
        <v>6.512296062</v>
      </c>
    </row>
    <row r="17" ht="15.75" customHeight="1">
      <c r="A17" s="6">
        <v>11.6</v>
      </c>
      <c r="B17" s="6">
        <v>9.7</v>
      </c>
      <c r="C17" s="6" t="s">
        <v>11</v>
      </c>
      <c r="D17" s="6">
        <f t="shared" si="3"/>
        <v>5.300943312</v>
      </c>
      <c r="F17" s="1"/>
      <c r="G17" s="1"/>
      <c r="H17" s="1"/>
      <c r="K17" s="1">
        <v>12.2</v>
      </c>
      <c r="L17" s="1">
        <v>6.3</v>
      </c>
      <c r="M17" s="1" t="s">
        <v>11</v>
      </c>
      <c r="N17" s="1">
        <f t="shared" si="1"/>
        <v>5.728001397</v>
      </c>
      <c r="P17" s="8">
        <v>19.4</v>
      </c>
      <c r="Q17" s="8">
        <v>10.9</v>
      </c>
      <c r="R17" s="5" t="s">
        <v>11</v>
      </c>
      <c r="S17" s="8">
        <f t="shared" si="2"/>
        <v>5.048762225</v>
      </c>
    </row>
    <row r="18" ht="15.75" customHeight="1">
      <c r="A18" s="6">
        <v>18.8</v>
      </c>
      <c r="B18" s="6">
        <v>3.2</v>
      </c>
      <c r="C18" s="6" t="s">
        <v>12</v>
      </c>
      <c r="D18" s="10">
        <f t="shared" si="3"/>
        <v>4.468780594</v>
      </c>
      <c r="F18" s="1" t="s">
        <v>14</v>
      </c>
      <c r="K18" s="1">
        <v>15.9</v>
      </c>
      <c r="L18" s="1">
        <v>6.6</v>
      </c>
      <c r="M18" s="1" t="s">
        <v>11</v>
      </c>
      <c r="N18" s="2">
        <f t="shared" si="1"/>
        <v>2.617250466</v>
      </c>
      <c r="P18" s="8">
        <v>15.9</v>
      </c>
      <c r="Q18" s="8">
        <v>6.6</v>
      </c>
      <c r="R18" s="5" t="s">
        <v>11</v>
      </c>
      <c r="S18" s="8">
        <f t="shared" si="2"/>
        <v>2.886173938</v>
      </c>
    </row>
    <row r="19" ht="15.75" customHeight="1">
      <c r="A19" s="6">
        <v>12.2</v>
      </c>
      <c r="B19" s="6">
        <v>6.3</v>
      </c>
      <c r="C19" s="6" t="s">
        <v>11</v>
      </c>
      <c r="D19" s="10">
        <f t="shared" si="3"/>
        <v>3.712142239</v>
      </c>
      <c r="F19" s="8">
        <v>18.8</v>
      </c>
      <c r="G19" s="8">
        <v>3.2</v>
      </c>
      <c r="H19" s="5" t="s">
        <v>12</v>
      </c>
      <c r="I19" s="8">
        <f t="shared" ref="I19:I24" si="6">SQRT(($P$24-F19)^2+(($Q$24-G19)^2))</f>
        <v>2.701851217</v>
      </c>
      <c r="K19" s="1">
        <v>16.6</v>
      </c>
      <c r="L19" s="1">
        <v>6.5</v>
      </c>
      <c r="M19" s="1" t="s">
        <v>11</v>
      </c>
      <c r="N19" s="2">
        <f t="shared" si="1"/>
        <v>2.109502311</v>
      </c>
      <c r="P19" s="8">
        <v>18.8</v>
      </c>
      <c r="Q19" s="8">
        <v>3.2</v>
      </c>
      <c r="R19" s="5" t="s">
        <v>12</v>
      </c>
      <c r="S19" s="11">
        <f t="shared" si="2"/>
        <v>2.701851217</v>
      </c>
    </row>
    <row r="20" ht="15.75" customHeight="1">
      <c r="A20" s="6">
        <v>17.4</v>
      </c>
      <c r="B20" s="6">
        <v>4.3</v>
      </c>
      <c r="C20" s="6" t="s">
        <v>11</v>
      </c>
      <c r="D20" s="10">
        <f t="shared" si="3"/>
        <v>2.745906044</v>
      </c>
      <c r="F20" s="8">
        <v>16.6</v>
      </c>
      <c r="G20" s="8">
        <v>6.5</v>
      </c>
      <c r="H20" s="5" t="s">
        <v>11</v>
      </c>
      <c r="I20" s="8">
        <f t="shared" si="6"/>
        <v>2.184032967</v>
      </c>
      <c r="K20" s="1">
        <v>18.0</v>
      </c>
      <c r="L20" s="1">
        <v>6.7</v>
      </c>
      <c r="M20" s="1" t="s">
        <v>11</v>
      </c>
      <c r="N20" s="2">
        <f t="shared" si="1"/>
        <v>2.022374842</v>
      </c>
      <c r="P20" s="8">
        <v>16.6</v>
      </c>
      <c r="Q20" s="8">
        <v>6.5</v>
      </c>
      <c r="R20" s="5" t="s">
        <v>11</v>
      </c>
      <c r="S20" s="11">
        <f t="shared" si="2"/>
        <v>2.184032967</v>
      </c>
    </row>
    <row r="21" ht="15.75" customHeight="1">
      <c r="A21" s="6">
        <v>18.0</v>
      </c>
      <c r="B21" s="6">
        <v>6.7</v>
      </c>
      <c r="C21" s="6" t="s">
        <v>11</v>
      </c>
      <c r="D21" s="10">
        <f t="shared" si="3"/>
        <v>2.102379604</v>
      </c>
      <c r="F21" s="8">
        <v>17.4</v>
      </c>
      <c r="G21" s="8">
        <v>4.3</v>
      </c>
      <c r="H21" s="5" t="s">
        <v>11</v>
      </c>
      <c r="I21" s="8">
        <f t="shared" si="6"/>
        <v>2.061552813</v>
      </c>
      <c r="K21" s="1">
        <v>18.8</v>
      </c>
      <c r="L21" s="1">
        <v>3.2</v>
      </c>
      <c r="M21" s="1" t="s">
        <v>12</v>
      </c>
      <c r="N21" s="2">
        <f t="shared" si="1"/>
        <v>1.860107524</v>
      </c>
      <c r="P21" s="8">
        <v>17.4</v>
      </c>
      <c r="Q21" s="8">
        <v>4.3</v>
      </c>
      <c r="R21" s="5" t="s">
        <v>11</v>
      </c>
      <c r="S21" s="11">
        <f t="shared" si="2"/>
        <v>2.061552813</v>
      </c>
    </row>
    <row r="22" ht="15.75" customHeight="1">
      <c r="A22" s="6">
        <v>16.6</v>
      </c>
      <c r="B22" s="6">
        <v>6.5</v>
      </c>
      <c r="C22" s="6" t="s">
        <v>11</v>
      </c>
      <c r="D22" s="10">
        <f t="shared" si="3"/>
        <v>0.7071067812</v>
      </c>
      <c r="F22" s="12">
        <v>17.7</v>
      </c>
      <c r="G22" s="12">
        <v>4.7</v>
      </c>
      <c r="H22" s="13" t="s">
        <v>11</v>
      </c>
      <c r="I22" s="12">
        <f t="shared" si="6"/>
        <v>1.562049935</v>
      </c>
      <c r="K22" s="1">
        <v>17.4</v>
      </c>
      <c r="L22" s="1">
        <v>4.3</v>
      </c>
      <c r="M22" s="1" t="s">
        <v>11</v>
      </c>
      <c r="N22" s="2">
        <f t="shared" si="1"/>
        <v>0.5</v>
      </c>
      <c r="P22" s="8">
        <v>17.7</v>
      </c>
      <c r="Q22" s="8">
        <v>4.7</v>
      </c>
      <c r="R22" s="5" t="s">
        <v>11</v>
      </c>
      <c r="S22" s="11">
        <f t="shared" si="2"/>
        <v>1.562049935</v>
      </c>
    </row>
    <row r="23" ht="15.75" customHeight="1">
      <c r="A23" s="14"/>
      <c r="B23" s="14"/>
      <c r="C23" s="14"/>
      <c r="D23" s="14"/>
      <c r="F23" s="8">
        <v>18.0</v>
      </c>
      <c r="G23" s="8">
        <v>6.7</v>
      </c>
      <c r="H23" s="5" t="s">
        <v>11</v>
      </c>
      <c r="I23" s="8">
        <f t="shared" si="6"/>
        <v>1.063014581</v>
      </c>
      <c r="K23" s="1">
        <v>17.7</v>
      </c>
      <c r="L23" s="1">
        <v>4.7</v>
      </c>
      <c r="M23" s="1" t="s">
        <v>11</v>
      </c>
      <c r="N23" s="2">
        <f t="shared" si="1"/>
        <v>0</v>
      </c>
      <c r="P23" s="8">
        <v>18.0</v>
      </c>
      <c r="Q23" s="8">
        <v>6.7</v>
      </c>
      <c r="R23" s="5" t="s">
        <v>11</v>
      </c>
      <c r="S23" s="11">
        <f t="shared" si="2"/>
        <v>1.063014581</v>
      </c>
    </row>
    <row r="24" ht="15.75" customHeight="1">
      <c r="A24" s="15" t="s">
        <v>15</v>
      </c>
      <c r="B24" s="16"/>
      <c r="C24" s="16"/>
      <c r="D24" s="17"/>
      <c r="F24" s="11">
        <v>18.7</v>
      </c>
      <c r="G24" s="11">
        <v>5.9</v>
      </c>
      <c r="H24" s="18" t="s">
        <v>11</v>
      </c>
      <c r="I24" s="11">
        <f t="shared" si="6"/>
        <v>0</v>
      </c>
      <c r="K24" s="1">
        <v>18.7</v>
      </c>
      <c r="L24" s="1">
        <v>5.9</v>
      </c>
      <c r="M24" s="1" t="s">
        <v>16</v>
      </c>
      <c r="N24" s="2"/>
      <c r="P24" s="8">
        <v>18.7</v>
      </c>
      <c r="Q24" s="8">
        <v>5.9</v>
      </c>
      <c r="R24" s="5" t="s">
        <v>11</v>
      </c>
      <c r="S24" s="11">
        <f t="shared" si="2"/>
        <v>0</v>
      </c>
    </row>
    <row r="25" ht="15.75" customHeight="1">
      <c r="A25" s="10">
        <v>15.9</v>
      </c>
      <c r="B25" s="10">
        <v>6.6</v>
      </c>
      <c r="C25" s="10" t="s">
        <v>11</v>
      </c>
      <c r="D25" s="10"/>
    </row>
    <row r="26" ht="15.75" customHeight="1">
      <c r="A26" s="10">
        <v>17.7</v>
      </c>
      <c r="B26" s="10">
        <v>4.7</v>
      </c>
      <c r="C26" s="10" t="s">
        <v>11</v>
      </c>
      <c r="D26" s="10"/>
    </row>
    <row r="27" ht="15.75" customHeight="1">
      <c r="A27" s="10">
        <v>18.7</v>
      </c>
      <c r="B27" s="10">
        <v>5.9</v>
      </c>
      <c r="C27" s="10" t="s">
        <v>11</v>
      </c>
      <c r="D27" s="10"/>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P$1:$S$24"/>
  <mergeCells count="5">
    <mergeCell ref="A1:D1"/>
    <mergeCell ref="F2:I2"/>
    <mergeCell ref="F10:I10"/>
    <mergeCell ref="F18:I18"/>
    <mergeCell ref="A24:D24"/>
  </mergeCells>
  <drawing r:id="rId1"/>
</worksheet>
</file>