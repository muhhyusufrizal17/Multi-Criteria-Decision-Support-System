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1" sheetId="1" r:id="rId4"/>
    <sheet state="visible" name="Case 2" sheetId="2" r:id="rId5"/>
  </sheets>
  <definedNames/>
  <calcPr/>
  <extLst>
    <ext uri="GoogleSheetsCustomDataVersion2">
      <go:sheetsCustomData xmlns:go="http://customooxmlschemas.google.com/" r:id="rId6" roundtripDataChecksum="EAgm4+D/jCwdZshZxSybuGv8SmMsugtuWKYjTFOsD8I="/>
    </ext>
  </extLst>
</workbook>
</file>

<file path=xl/sharedStrings.xml><?xml version="1.0" encoding="utf-8"?>
<sst xmlns="http://schemas.openxmlformats.org/spreadsheetml/2006/main" count="64" uniqueCount="43">
  <si>
    <t>C1 = Jarak dengan pasar terdekat (biaya)</t>
  </si>
  <si>
    <t>C2 = kepadatan penduduk di sekitar lokasi (keuntungan)</t>
  </si>
  <si>
    <t>C3 = Jarak dari pabrik (biaya)</t>
  </si>
  <si>
    <t>C4 = Jarak dari gudang yang ada (Keuntungan)</t>
  </si>
  <si>
    <t>C5 = Harga tanah (biaya)</t>
  </si>
  <si>
    <t>Pengambil keputusan = owner/ahli</t>
  </si>
  <si>
    <t>Weight = 5, 3, 4, 4, 2</t>
  </si>
  <si>
    <t>Alternative</t>
  </si>
  <si>
    <t>Kriteria</t>
  </si>
  <si>
    <t>C1</t>
  </si>
  <si>
    <t>C2</t>
  </si>
  <si>
    <t>C3</t>
  </si>
  <si>
    <t>C4</t>
  </si>
  <si>
    <t>C5</t>
  </si>
  <si>
    <t>Weight</t>
  </si>
  <si>
    <t>A1</t>
  </si>
  <si>
    <t>A2</t>
  </si>
  <si>
    <t>A3</t>
  </si>
  <si>
    <t>Biaya</t>
  </si>
  <si>
    <t>Untung</t>
  </si>
  <si>
    <t>Nilai Bobot</t>
  </si>
  <si>
    <t>Hitung A^Bobot</t>
  </si>
  <si>
    <t>Bobot</t>
  </si>
  <si>
    <t>Vektor</t>
  </si>
  <si>
    <t>Ranking</t>
  </si>
  <si>
    <t>Ngemplak</t>
  </si>
  <si>
    <t>Kalasan</t>
  </si>
  <si>
    <t>Batu Gedhe</t>
  </si>
  <si>
    <t>C1 = Harga (biaya)</t>
  </si>
  <si>
    <t>C2 = Nilai Investasi (Keuntungan)</t>
  </si>
  <si>
    <t>C3 = Daya dukung produktivitas (Keuntungan)</t>
  </si>
  <si>
    <t>C4 = Prioritas Kebutuhan (Biaya)</t>
  </si>
  <si>
    <t>C5 = Ketersediaan (Keuntungan)</t>
  </si>
  <si>
    <t>Alternatif</t>
  </si>
  <si>
    <t>Investor A1</t>
  </si>
  <si>
    <t>Investor A2</t>
  </si>
  <si>
    <t>Investor A3</t>
  </si>
  <si>
    <t>Investor A4</t>
  </si>
  <si>
    <t>Harga</t>
  </si>
  <si>
    <t>investasi</t>
  </si>
  <si>
    <t>produktivitas</t>
  </si>
  <si>
    <t>kebutuhan</t>
  </si>
  <si>
    <t>ketersediaan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</si>
</sst>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Arial"/>
      <scheme val="minor"/>
    </font>
    <font>
      <sz val="13.0"/>
      <color theme="1"/>
      <name val="Lexend"/>
    </font>
    <font>
      <sz val="13.0"/>
      <color theme="1"/>
      <name val="Arial"/>
    </font>
    <font>
      <sz val="14.0"/>
      <color theme="1"/>
      <name val="Lexend"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3" numFmtId="0" xfId="0" applyAlignment="1" applyBorder="1" applyFont="1">
      <alignment horizontal="center" vertical="center"/>
    </xf>
    <xf borderId="6" fillId="0" fontId="3" numFmtId="2" xfId="0" applyAlignment="1" applyBorder="1" applyFont="1" applyNumberFormat="1">
      <alignment horizontal="center" vertical="center"/>
    </xf>
    <xf borderId="6" fillId="0" fontId="3" numFmtId="0" xfId="0" applyBorder="1" applyFont="1"/>
    <xf borderId="6" fillId="0" fontId="3" numFmtId="2" xfId="0" applyBorder="1" applyFont="1" applyNumberFormat="1"/>
    <xf borderId="2" fillId="0" fontId="3" numFmtId="0" xfId="0" applyAlignment="1" applyBorder="1" applyFont="1">
      <alignment readingOrder="0"/>
    </xf>
    <xf borderId="7" fillId="0" fontId="3" numFmtId="0" xfId="0" applyBorder="1" applyFont="1"/>
    <xf borderId="0" fillId="0" fontId="3" numFmtId="0" xfId="0" applyFont="1"/>
    <xf borderId="6" fillId="0" fontId="3" numFmtId="164" xfId="0" applyBorder="1" applyFont="1" applyNumberFormat="1"/>
    <xf borderId="0" fillId="0" fontId="3" numFmtId="0" xfId="0" applyAlignment="1" applyFont="1">
      <alignment readingOrder="0"/>
    </xf>
    <xf borderId="0" fillId="0" fontId="3" numFmtId="0" xfId="0" applyAlignment="1" applyFont="1">
      <alignment vertical="bottom"/>
    </xf>
    <xf borderId="8" fillId="0" fontId="4" numFmtId="0" xfId="0" applyBorder="1" applyFont="1"/>
    <xf borderId="6" fillId="0" fontId="3" numFmtId="9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21.88"/>
    <col customWidth="1" min="2" max="6" width="12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2" t="s">
        <v>3</v>
      </c>
    </row>
    <row r="5" ht="15.75" customHeight="1">
      <c r="A5" s="1" t="s">
        <v>4</v>
      </c>
    </row>
    <row r="6" ht="15.75" customHeight="1">
      <c r="A6" s="1"/>
      <c r="B6" s="1"/>
      <c r="C6" s="1"/>
      <c r="D6" s="1"/>
      <c r="E6" s="3"/>
    </row>
    <row r="7" ht="15.75" customHeight="1">
      <c r="A7" s="1" t="s">
        <v>5</v>
      </c>
      <c r="E7" s="3"/>
    </row>
    <row r="8" ht="15.75" customHeight="1">
      <c r="A8" s="1" t="s">
        <v>6</v>
      </c>
      <c r="B8" s="1"/>
      <c r="C8" s="1"/>
      <c r="D8" s="1"/>
      <c r="E8" s="3"/>
    </row>
    <row r="9" ht="15.75" customHeight="1"/>
    <row r="10" ht="15.75" customHeight="1">
      <c r="A10" s="4" t="s">
        <v>7</v>
      </c>
      <c r="B10" s="5" t="s">
        <v>8</v>
      </c>
      <c r="C10" s="6"/>
      <c r="D10" s="6"/>
      <c r="E10" s="6"/>
      <c r="F10" s="7"/>
    </row>
    <row r="11" ht="15.75" customHeight="1">
      <c r="A11" s="8"/>
      <c r="B11" s="9" t="s">
        <v>9</v>
      </c>
      <c r="C11" s="9" t="s">
        <v>10</v>
      </c>
      <c r="D11" s="9" t="s">
        <v>11</v>
      </c>
      <c r="E11" s="9" t="s">
        <v>12</v>
      </c>
      <c r="F11" s="9" t="s">
        <v>13</v>
      </c>
    </row>
    <row r="12" ht="15.75" customHeight="1">
      <c r="A12" s="9" t="s">
        <v>14</v>
      </c>
      <c r="B12" s="9">
        <v>5.0</v>
      </c>
      <c r="C12" s="9">
        <v>3.0</v>
      </c>
      <c r="D12" s="9">
        <v>4.0</v>
      </c>
      <c r="E12" s="9">
        <v>4.0</v>
      </c>
      <c r="F12" s="9">
        <v>2.0</v>
      </c>
    </row>
    <row r="13" ht="15.75" customHeight="1">
      <c r="A13" s="9" t="s">
        <v>15</v>
      </c>
      <c r="B13" s="9">
        <v>0.75</v>
      </c>
      <c r="C13" s="9">
        <v>2000.0</v>
      </c>
      <c r="D13" s="9">
        <v>18.0</v>
      </c>
      <c r="E13" s="9">
        <v>50.0</v>
      </c>
      <c r="F13" s="9">
        <v>500.0</v>
      </c>
    </row>
    <row r="14" ht="15.75" customHeight="1">
      <c r="A14" s="9" t="s">
        <v>16</v>
      </c>
      <c r="B14" s="10">
        <v>0.5</v>
      </c>
      <c r="C14" s="9">
        <v>1500.0</v>
      </c>
      <c r="D14" s="9">
        <v>20.0</v>
      </c>
      <c r="E14" s="9">
        <v>40.0</v>
      </c>
      <c r="F14" s="9">
        <v>450.0</v>
      </c>
    </row>
    <row r="15" ht="15.75" customHeight="1">
      <c r="A15" s="9" t="s">
        <v>17</v>
      </c>
      <c r="B15" s="10">
        <v>0.9</v>
      </c>
      <c r="C15" s="9">
        <v>2050.0</v>
      </c>
      <c r="D15" s="9">
        <v>35.0</v>
      </c>
      <c r="E15" s="9">
        <v>35.0</v>
      </c>
      <c r="F15" s="9">
        <v>800.0</v>
      </c>
    </row>
    <row r="16" ht="15.75" customHeight="1">
      <c r="A16" s="9" t="s">
        <v>8</v>
      </c>
      <c r="B16" s="9" t="s">
        <v>18</v>
      </c>
      <c r="C16" s="9" t="s">
        <v>19</v>
      </c>
      <c r="D16" s="9" t="s">
        <v>18</v>
      </c>
      <c r="E16" s="9" t="s">
        <v>19</v>
      </c>
      <c r="F16" s="9" t="s">
        <v>18</v>
      </c>
    </row>
    <row r="17" ht="15.75" customHeight="1"/>
    <row r="18" ht="15.75" customHeight="1">
      <c r="A18" s="11" t="s">
        <v>20</v>
      </c>
      <c r="B18" s="12">
        <f>-B12/SUM($B$12:$F$12)</f>
        <v>-0.2777777778</v>
      </c>
      <c r="C18" s="12">
        <f>C12/SUM($B$12:$F$12)</f>
        <v>0.1666666667</v>
      </c>
      <c r="D18" s="12">
        <f>-D12/SUM($B$12:$F$12)</f>
        <v>-0.2222222222</v>
      </c>
      <c r="E18" s="12">
        <f>E12/SUM($B$12:$F$12)</f>
        <v>0.2222222222</v>
      </c>
      <c r="F18" s="12">
        <f>-F12/SUM($B$12:$F$12)</f>
        <v>-0.1111111111</v>
      </c>
    </row>
    <row r="19" ht="15.75" customHeight="1"/>
    <row r="20" ht="15.75" customHeight="1">
      <c r="A20" s="11" t="s">
        <v>21</v>
      </c>
      <c r="B20" s="11" t="s">
        <v>22</v>
      </c>
      <c r="C20" s="11" t="s">
        <v>23</v>
      </c>
      <c r="D20" s="13" t="s">
        <v>24</v>
      </c>
      <c r="E20" s="14"/>
      <c r="F20" s="15"/>
    </row>
    <row r="21" ht="15.75" customHeight="1">
      <c r="A21" s="11" t="s">
        <v>25</v>
      </c>
      <c r="B21" s="12">
        <f t="shared" ref="B21:B23" si="1">(B13^$B$18)*(C13^$C$18)*(D13^$D$18)*(E13^$E$18)*(F13^$F$18)</f>
        <v>2.418748755</v>
      </c>
      <c r="C21" s="16">
        <f t="shared" ref="C21:C23" si="2">B21/sum($B$21:$B$23)</f>
        <v>0.3669248571</v>
      </c>
      <c r="D21" s="13">
        <v>2.0</v>
      </c>
      <c r="E21" s="14"/>
      <c r="F21" s="15"/>
    </row>
    <row r="22" ht="15.75" customHeight="1">
      <c r="A22" s="11" t="s">
        <v>26</v>
      </c>
      <c r="B22" s="12">
        <f t="shared" si="1"/>
        <v>2.426957385</v>
      </c>
      <c r="C22" s="16">
        <f t="shared" si="2"/>
        <v>0.3681701086</v>
      </c>
      <c r="D22" s="13">
        <v>1.0</v>
      </c>
      <c r="E22" s="14"/>
      <c r="F22" s="15"/>
    </row>
    <row r="23" ht="15.75" customHeight="1">
      <c r="A23" s="11" t="s">
        <v>27</v>
      </c>
      <c r="B23" s="12">
        <f t="shared" si="1"/>
        <v>1.746239617</v>
      </c>
      <c r="C23" s="16">
        <f t="shared" si="2"/>
        <v>0.2649050343</v>
      </c>
      <c r="D23" s="13">
        <v>3.0</v>
      </c>
      <c r="E23" s="14"/>
      <c r="F23" s="1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3:E3"/>
    <mergeCell ref="A4:E4"/>
    <mergeCell ref="A5:E5"/>
    <mergeCell ref="A7:D7"/>
    <mergeCell ref="A10:A11"/>
    <mergeCell ref="B10:F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15.0"/>
    <col customWidth="1" min="3" max="3" width="12.63"/>
    <col customWidth="1" min="4" max="4" width="20.0"/>
    <col customWidth="1" min="5" max="5" width="16.38"/>
    <col customWidth="1" min="6" max="6" width="17.13"/>
  </cols>
  <sheetData>
    <row r="1" ht="15.75" customHeight="1">
      <c r="A1" s="17" t="s">
        <v>28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5.75" customHeight="1">
      <c r="A2" s="17" t="s">
        <v>29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5.75" customHeight="1">
      <c r="A3" s="17" t="s">
        <v>30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5.75" customHeight="1">
      <c r="A4" s="17" t="s">
        <v>31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s="17" t="s">
        <v>32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5.7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5.75" customHeight="1">
      <c r="A7" s="18"/>
      <c r="B7" s="15"/>
      <c r="C7" s="15"/>
      <c r="D7" s="15"/>
      <c r="E7" s="15"/>
      <c r="F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5.75" customHeight="1">
      <c r="A8" s="18"/>
      <c r="B8" s="15"/>
      <c r="C8" s="15"/>
      <c r="D8" s="15"/>
      <c r="E8" s="15"/>
      <c r="F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5.75" customHeight="1">
      <c r="A9" s="4" t="s">
        <v>33</v>
      </c>
      <c r="B9" s="5" t="s">
        <v>8</v>
      </c>
      <c r="C9" s="6"/>
      <c r="D9" s="6"/>
      <c r="E9" s="6"/>
      <c r="F9" s="7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5.75" customHeight="1">
      <c r="A10" s="19"/>
      <c r="B10" s="9" t="s">
        <v>9</v>
      </c>
      <c r="C10" s="9" t="s">
        <v>10</v>
      </c>
      <c r="D10" s="9" t="s">
        <v>11</v>
      </c>
      <c r="E10" s="9" t="s">
        <v>12</v>
      </c>
      <c r="F10" s="9" t="s">
        <v>13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75" customHeight="1">
      <c r="A11" s="8"/>
      <c r="B11" s="20">
        <v>0.25</v>
      </c>
      <c r="C11" s="20">
        <v>0.15</v>
      </c>
      <c r="D11" s="20">
        <v>0.3</v>
      </c>
      <c r="E11" s="20">
        <v>0.25</v>
      </c>
      <c r="F11" s="20">
        <v>0.05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5.75" customHeight="1">
      <c r="A12" s="21" t="s">
        <v>34</v>
      </c>
      <c r="B12" s="9">
        <v>1.5E8</v>
      </c>
      <c r="C12" s="9">
        <v>15.0</v>
      </c>
      <c r="D12" s="9">
        <v>2.0</v>
      </c>
      <c r="E12" s="9">
        <v>2.0</v>
      </c>
      <c r="F12" s="9">
        <v>3.0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21" t="s">
        <v>35</v>
      </c>
      <c r="B13" s="9">
        <v>5.0E8</v>
      </c>
      <c r="C13" s="9">
        <v>200.0</v>
      </c>
      <c r="D13" s="9">
        <v>2.0</v>
      </c>
      <c r="E13" s="9">
        <v>3.0</v>
      </c>
      <c r="F13" s="9">
        <v>2.0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21" t="s">
        <v>36</v>
      </c>
      <c r="B14" s="9">
        <v>2.0E8</v>
      </c>
      <c r="C14" s="9">
        <v>10.0</v>
      </c>
      <c r="D14" s="9">
        <v>3.0</v>
      </c>
      <c r="E14" s="9">
        <v>1.0</v>
      </c>
      <c r="F14" s="9">
        <v>3.0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5.75" customHeight="1">
      <c r="A15" s="21" t="s">
        <v>37</v>
      </c>
      <c r="B15" s="9">
        <v>3.5E8</v>
      </c>
      <c r="C15" s="9">
        <v>100.0</v>
      </c>
      <c r="D15" s="9">
        <v>3.0</v>
      </c>
      <c r="E15" s="9">
        <v>1.0</v>
      </c>
      <c r="F15" s="9">
        <v>2.0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9" t="s">
        <v>22</v>
      </c>
      <c r="B16" s="9">
        <v>5.0</v>
      </c>
      <c r="C16" s="9">
        <v>3.0</v>
      </c>
      <c r="D16" s="9">
        <v>2.0</v>
      </c>
      <c r="E16" s="9">
        <v>5.0</v>
      </c>
      <c r="F16" s="9">
        <v>4.0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5.75" customHeight="1">
      <c r="A17" s="9" t="s">
        <v>8</v>
      </c>
      <c r="B17" s="9" t="s">
        <v>38</v>
      </c>
      <c r="C17" s="9" t="s">
        <v>39</v>
      </c>
      <c r="D17" s="9" t="s">
        <v>40</v>
      </c>
      <c r="E17" s="9" t="s">
        <v>41</v>
      </c>
      <c r="F17" s="9" t="s">
        <v>42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5.75" customHeight="1">
      <c r="A18" s="15"/>
      <c r="B18" s="15"/>
      <c r="C18" s="15"/>
      <c r="D18" s="15"/>
      <c r="E18" s="15"/>
      <c r="F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11" t="s">
        <v>20</v>
      </c>
      <c r="B19" s="12">
        <f>-B16/sum($B$16:$F$16)</f>
        <v>-0.2631578947</v>
      </c>
      <c r="C19" s="12">
        <f t="shared" ref="C19:D19" si="1">C16/sum($B$16:$F$16)</f>
        <v>0.1578947368</v>
      </c>
      <c r="D19" s="12">
        <f t="shared" si="1"/>
        <v>0.1052631579</v>
      </c>
      <c r="E19" s="12">
        <f>-E16/sum($B$16:$F$16)</f>
        <v>-0.2631578947</v>
      </c>
      <c r="F19" s="12">
        <f>F16/sum($B$16:$F$16)</f>
        <v>0.2105263158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5.75" customHeight="1">
      <c r="A20" s="15"/>
      <c r="B20" s="15"/>
      <c r="C20" s="15"/>
      <c r="D20" s="15"/>
      <c r="E20" s="15"/>
      <c r="F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1" t="s">
        <v>21</v>
      </c>
      <c r="B21" s="11" t="s">
        <v>22</v>
      </c>
      <c r="C21" s="11" t="s">
        <v>23</v>
      </c>
      <c r="D21" s="22" t="s">
        <v>24</v>
      </c>
      <c r="E21" s="15"/>
      <c r="F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21" t="s">
        <v>34</v>
      </c>
      <c r="B22" s="16">
        <f t="shared" ref="B22:B25" si="2">(B12^$B$19)*(C12^$C$19)*(D12^$D$19)*(E12^$E$19)*(F12^$F$19)</f>
        <v>0.01221831127</v>
      </c>
      <c r="C22" s="12">
        <f t="shared" ref="C22:C25" si="3">B22/sum($B$22:$B$25)</f>
        <v>0.2360993944</v>
      </c>
      <c r="D22" s="22">
        <v>3.0</v>
      </c>
      <c r="E22" s="15"/>
      <c r="F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21" t="s">
        <v>35</v>
      </c>
      <c r="B23" s="16">
        <f t="shared" si="2"/>
        <v>0.01105660442</v>
      </c>
      <c r="C23" s="12">
        <f t="shared" si="3"/>
        <v>0.2136512608</v>
      </c>
      <c r="D23" s="22">
        <v>4.0</v>
      </c>
      <c r="E23" s="15"/>
      <c r="F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21" t="s">
        <v>36</v>
      </c>
      <c r="B24" s="16">
        <f t="shared" si="2"/>
        <v>0.013307088</v>
      </c>
      <c r="C24" s="12">
        <f t="shared" si="3"/>
        <v>0.2571382696</v>
      </c>
      <c r="D24" s="22">
        <v>2.0</v>
      </c>
      <c r="E24" s="15"/>
      <c r="F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21" t="s">
        <v>37</v>
      </c>
      <c r="B25" s="16">
        <f t="shared" si="2"/>
        <v>0.01516870623</v>
      </c>
      <c r="C25" s="12">
        <f t="shared" si="3"/>
        <v>0.2931110753</v>
      </c>
      <c r="D25" s="22">
        <v>1.0</v>
      </c>
      <c r="E25" s="15"/>
      <c r="F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9:A11"/>
    <mergeCell ref="B9:F9"/>
  </mergeCells>
  <drawing r:id="rId1"/>
</worksheet>
</file>