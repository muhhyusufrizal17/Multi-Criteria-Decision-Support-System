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view" sheetId="1" r:id="rId4"/>
    <sheet state="visible" name="MATRIKS PERBANDINGAN" sheetId="2" r:id="rId5"/>
    <sheet state="visible" name="KRITERIA UTAMA" sheetId="3" r:id="rId6"/>
    <sheet state="visible" name="HARGA" sheetId="4" r:id="rId7"/>
    <sheet state="visible" name="MEMORY" sheetId="5" r:id="rId8"/>
    <sheet state="visible" name="RAM" sheetId="6" r:id="rId9"/>
    <sheet state="visible" name="KAMERA" sheetId="7" r:id="rId10"/>
    <sheet state="visible" name="BATERAI" sheetId="8" r:id="rId11"/>
    <sheet state="visible" name="AKHIR" sheetId="9" r:id="rId12"/>
  </sheets>
  <definedNames/>
  <calcPr/>
  <extLst>
    <ext uri="GoogleSheetsCustomDataVersion2">
      <go:sheetsCustomData xmlns:go="http://customooxmlschemas.google.com/" r:id="rId13" roundtripDataChecksum="VkNmd96/9i2v7XF1iAWadlpvI2TRc+BjatiRqYM+ka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5">
      <text>
        <t xml:space="preserve">======
ID#AAAB571wpZc
tc={b1904b60-4a78-4979-aaa1-35bd0c6bbf41}    (2026-05-08 23:59:40)
[Threaded comment]
 Your version of Excel allows you to read this threaded comment; however, any edits to it will get removed if the file is opened in a newer version of Excel. Learn more: https://go.microsoft.com/fwlink/?linkid=870924
Comment:
	nilai awal * nilai rata-rata eigen</t>
      </text>
    </comment>
    <comment authorId="0" ref="A43">
      <text>
        <t xml:space="preserve">======
ID#AAAB571wpZg
    (2026-05-08 23:59:40)
Cl=(Lamda Max-n)/n-1</t>
      </text>
    </comment>
  </commentList>
  <extLst>
    <ext uri="GoogleSheetsCustomDataVersion2">
      <go:sheetsCustomData xmlns:go="http://customooxmlschemas.google.com/" r:id="rId1" roundtripDataSignature="AMtx7mhHwA5F/hp6mw8N8weiJJPHaZPXq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0">
      <text>
        <t xml:space="preserve">======
ID#AAAB571wpZk
    (2026-05-08 23:59:40)
Cl=(Lamda Max-n)/n-1</t>
      </text>
    </comment>
  </commentList>
  <extLst>
    <ext uri="GoogleSheetsCustomDataVersion2">
      <go:sheetsCustomData xmlns:go="http://customooxmlschemas.google.com/" r:id="rId1" roundtripDataSignature="AMtx7mjCIPZallhujClvqmvYe/DN0aRmU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0">
      <text>
        <t xml:space="preserve">======
ID#AAAB571wpZY
    (2026-05-08 23:59:40)
Cl=(Lamda Max-n)/n-1</t>
      </text>
    </comment>
  </commentList>
  <extLst>
    <ext uri="GoogleSheetsCustomDataVersion2">
      <go:sheetsCustomData xmlns:go="http://customooxmlschemas.google.com/" r:id="rId1" roundtripDataSignature="AMtx7mh1gU699cVu/bKskiEJ30ffo5HTQg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0">
      <text>
        <t xml:space="preserve">======
ID#AAAB571wpZo
    (2026-05-08 23:59:40)
Cl=(Lamda Max-n)/n-1</t>
      </text>
    </comment>
  </commentList>
  <extLst>
    <ext uri="GoogleSheetsCustomDataVersion2">
      <go:sheetsCustomData xmlns:go="http://customooxmlschemas.google.com/" r:id="rId1" roundtripDataSignature="AMtx7miVR5OPnZKOru9URoOEY1e+K4iJ5Q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0">
      <text>
        <t xml:space="preserve">======
ID#AAAB571wpZs
    (2026-05-08 23:59:40)
Cl=(Lamda Max-n)/n-1</t>
      </text>
    </comment>
  </commentList>
  <extLst>
    <ext uri="GoogleSheetsCustomDataVersion2">
      <go:sheetsCustomData xmlns:go="http://customooxmlschemas.google.com/" r:id="rId1" roundtripDataSignature="AMtx7mgnyuk1S9GZOyecgxJONDA9LsZM/A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0">
      <text>
        <t xml:space="preserve">======
ID#AAAB571wpZw
    (2026-05-08 23:59:40)
Cl=(Lamda Max-n)/n-1</t>
      </text>
    </comment>
  </commentList>
  <extLst>
    <ext uri="GoogleSheetsCustomDataVersion2">
      <go:sheetsCustomData xmlns:go="http://customooxmlschemas.google.com/" r:id="rId1" roundtripDataSignature="AMtx7mg9dXapAfs9XZnjkmy19PJ4nQqWcg=="/>
    </ext>
  </extLst>
</comments>
</file>

<file path=xl/sharedStrings.xml><?xml version="1.0" encoding="utf-8"?>
<sst xmlns="http://schemas.openxmlformats.org/spreadsheetml/2006/main" count="410" uniqueCount="64">
  <si>
    <t>AHP (Analytical Hierarchy Process)</t>
  </si>
  <si>
    <t>Termasuk dalam MADM (Multi Atribute Decision Making)</t>
  </si>
  <si>
    <t>3 Tujuan identifikasi (HIERARCHY)</t>
  </si>
  <si>
    <t>- Tentukan Tujuan</t>
  </si>
  <si>
    <t>- Tentukan Kriteria</t>
  </si>
  <si>
    <t>- Tentukan Alternatif</t>
  </si>
  <si>
    <t>DITENTUKAN OLEH SELF JUDGEMENT</t>
  </si>
  <si>
    <t>9 -= MUTLAK</t>
  </si>
  <si>
    <t>7 = SANGAT LEBIH PENTING</t>
  </si>
  <si>
    <t>5 = LEBIH PENTING</t>
  </si>
  <si>
    <t>3 = CUKUP PENTING</t>
  </si>
  <si>
    <t>1 = SAMA PENTING</t>
  </si>
  <si>
    <t xml:space="preserve">2, 4, 6, 8 = INTERVAL ANTAR PREFERENSI BERNILAI KUAT </t>
  </si>
  <si>
    <t>ALTERNATIF (MEREK)</t>
  </si>
  <si>
    <t>HARGA</t>
  </si>
  <si>
    <t>BATERAI (mAh)</t>
  </si>
  <si>
    <t>RAM (GB)</t>
  </si>
  <si>
    <t>STORAGE (GB)</t>
  </si>
  <si>
    <t>KAMERA (MP)</t>
  </si>
  <si>
    <t>Apple</t>
  </si>
  <si>
    <t>Oppo</t>
  </si>
  <si>
    <t>Vivo</t>
  </si>
  <si>
    <t>Samsung</t>
  </si>
  <si>
    <t>Ketentuan: Harga, ROM, Kamera, Baterai</t>
  </si>
  <si>
    <t>BATERAI</t>
  </si>
  <si>
    <t>RAM</t>
  </si>
  <si>
    <t>STORAGE</t>
  </si>
  <si>
    <t>KAMERA</t>
  </si>
  <si>
    <t>9 = MUTLAK (EXTREME)</t>
  </si>
  <si>
    <t>7 = SANGAT LEBIH PENTING (VERY)</t>
  </si>
  <si>
    <t>5 = LEBIH PENTING (STRONG)</t>
  </si>
  <si>
    <t>3 = CUKUP PENTING (MODERATE)</t>
  </si>
  <si>
    <t>1 = SAMA PENTING (EQUAL)</t>
  </si>
  <si>
    <t>RI</t>
  </si>
  <si>
    <t>Ketentuan: Harga, ROM, RAM, Kamera, Baterai</t>
  </si>
  <si>
    <t>Harga</t>
  </si>
  <si>
    <t>Memori</t>
  </si>
  <si>
    <t>Kamera</t>
  </si>
  <si>
    <t>Baterai</t>
  </si>
  <si>
    <t>H</t>
  </si>
  <si>
    <t>M</t>
  </si>
  <si>
    <t>R</t>
  </si>
  <si>
    <t>K</t>
  </si>
  <si>
    <t>B</t>
  </si>
  <si>
    <t xml:space="preserve">2. Membuat Matrix Perbandingan				</t>
  </si>
  <si>
    <t>JUMLAH</t>
  </si>
  <si>
    <t>3. Menentukan Nilai Eigen dengan membagi setiap matrix dengan jumlah</t>
  </si>
  <si>
    <t>Jumlah</t>
  </si>
  <si>
    <t>Rata-rata nilai eigen</t>
  </si>
  <si>
    <t>4. Normalisasi Nilai Konsistensi (CI)</t>
  </si>
  <si>
    <t>Normalisasi</t>
  </si>
  <si>
    <t>5. Menghitung Nilai Konsistensi</t>
  </si>
  <si>
    <t>Lamda Max</t>
  </si>
  <si>
    <t>Cl</t>
  </si>
  <si>
    <t>IR</t>
  </si>
  <si>
    <t>CR = CI/IR</t>
  </si>
  <si>
    <t>Matriks</t>
  </si>
  <si>
    <t>Matriks Perbandingan</t>
  </si>
  <si>
    <t>Menentukan Nilai Eigen dengan membagi setiap matrix dengan jumlah</t>
  </si>
  <si>
    <t>Normalisasi Nilai Konsistensi (CI)</t>
  </si>
  <si>
    <t>MEMORI</t>
  </si>
  <si>
    <t>KRITERIA UTAMA</t>
  </si>
  <si>
    <t>HASIL AKHIR</t>
  </si>
  <si>
    <t>RANKING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</si>
</sst>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"/>
    <numFmt numFmtId="165" formatCode="#,##0.0000"/>
    <numFmt numFmtId="166" formatCode="0.00000"/>
  </numFmts>
  <fonts count="4">
    <font>
      <sz val="10.0"/>
      <color rgb="FF000000"/>
      <name val="Arial"/>
      <scheme val="minor"/>
    </font>
    <font>
      <color theme="1"/>
      <name val="Lexend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Border="1" applyFont="1"/>
    <xf borderId="3" fillId="0" fontId="3" numFmtId="0" xfId="0" applyBorder="1" applyFont="1"/>
    <xf borderId="4" fillId="0" fontId="3" numFmtId="0" xfId="0" applyBorder="1" applyFont="1"/>
    <xf borderId="1" fillId="0" fontId="2" numFmtId="164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shrinkToFit="0" wrapText="1"/>
    </xf>
    <xf borderId="0" fillId="0" fontId="2" numFmtId="0" xfId="0" applyFont="1"/>
    <xf borderId="0" fillId="0" fontId="1" numFmtId="164" xfId="0" applyFont="1" applyNumberFormat="1"/>
    <xf borderId="1" fillId="0" fontId="2" numFmtId="0" xfId="0" applyBorder="1" applyFont="1"/>
    <xf borderId="1" fillId="0" fontId="1" numFmtId="4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center" vertical="center"/>
    </xf>
    <xf borderId="1" fillId="0" fontId="1" numFmtId="166" xfId="0" applyAlignment="1" applyBorder="1" applyFont="1" applyNumberFormat="1">
      <alignment horizontal="center"/>
    </xf>
    <xf borderId="0" fillId="0" fontId="2" numFmtId="166" xfId="0" applyFont="1" applyNumberFormat="1"/>
    <xf borderId="0" fillId="0" fontId="1" numFmtId="4" xfId="0" applyFont="1" applyNumberFormat="1"/>
    <xf borderId="1" fillId="0" fontId="1" numFmtId="0" xfId="0" applyAlignment="1" applyBorder="1" applyFont="1">
      <alignment horizontal="left" vertical="center"/>
    </xf>
    <xf borderId="0" fillId="0" fontId="1" numFmtId="166" xfId="0" applyFont="1" applyNumberFormat="1"/>
    <xf borderId="1" fillId="0" fontId="1" numFmtId="4" xfId="0" applyBorder="1" applyFont="1" applyNumberFormat="1"/>
    <xf borderId="1" fillId="0" fontId="1" numFmtId="4" xfId="0" applyAlignment="1" applyBorder="1" applyFont="1" applyNumberFormat="1">
      <alignment horizontal="center" vertical="center"/>
    </xf>
    <xf borderId="1" fillId="0" fontId="1" numFmtId="2" xfId="0" applyAlignment="1" applyBorder="1" applyFont="1" applyNumberFormat="1">
      <alignment horizontal="center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/>
    </xf>
    <xf borderId="1" fillId="0" fontId="1" numFmtId="165" xfId="0" applyAlignment="1" applyBorder="1" applyFont="1" applyNumberFormat="1">
      <alignment horizontal="center"/>
    </xf>
    <xf borderId="1" fillId="0" fontId="1" numFmtId="165" xfId="0" applyBorder="1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1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" t="s"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" t="s">
        <v>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" t="s">
        <v>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" t="s">
        <v>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" t="s">
        <v>10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" t="s">
        <v>11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" t="s">
        <v>12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38"/>
    <col customWidth="1" min="3" max="4" width="14.13"/>
    <col customWidth="1" min="5" max="5" width="9.63"/>
    <col customWidth="1" min="6" max="6" width="8.5"/>
    <col customWidth="1" min="7" max="7" width="8.63"/>
    <col customWidth="1" min="8" max="8" width="8.75"/>
    <col customWidth="1" min="9" max="10" width="9.0"/>
    <col customWidth="1" min="14" max="14" width="14.0"/>
    <col customWidth="1" min="16" max="16" width="14.13"/>
    <col customWidth="1" min="18" max="18" width="13.88"/>
  </cols>
  <sheetData>
    <row r="1" ht="15.75" customHeight="1"/>
    <row r="2" ht="15.75" customHeight="1">
      <c r="A2" s="3" t="s">
        <v>13</v>
      </c>
      <c r="B2" s="4" t="s">
        <v>14</v>
      </c>
      <c r="C2" s="4" t="s">
        <v>15</v>
      </c>
      <c r="D2" s="4" t="s">
        <v>16</v>
      </c>
      <c r="E2" s="3" t="s">
        <v>17</v>
      </c>
      <c r="F2" s="3" t="s">
        <v>18</v>
      </c>
    </row>
    <row r="3" ht="15.75" customHeight="1">
      <c r="A3" s="5" t="s">
        <v>19</v>
      </c>
      <c r="B3" s="6">
        <v>2800000.0</v>
      </c>
      <c r="C3" s="6">
        <v>6000.0</v>
      </c>
      <c r="D3" s="6">
        <v>4.0</v>
      </c>
      <c r="E3" s="6">
        <v>64.0</v>
      </c>
      <c r="F3" s="6">
        <v>48.0</v>
      </c>
    </row>
    <row r="4" ht="15.75" customHeight="1">
      <c r="A4" s="5" t="s">
        <v>20</v>
      </c>
      <c r="B4" s="6">
        <v>2100000.0</v>
      </c>
      <c r="C4" s="6">
        <v>5020.0</v>
      </c>
      <c r="D4" s="6">
        <v>3.0</v>
      </c>
      <c r="E4" s="6">
        <v>64.0</v>
      </c>
      <c r="F4" s="6">
        <v>48.0</v>
      </c>
    </row>
    <row r="5" ht="15.75" customHeight="1">
      <c r="A5" s="5" t="s">
        <v>21</v>
      </c>
      <c r="B5" s="6">
        <v>2200000.0</v>
      </c>
      <c r="C5" s="6">
        <v>5000.0</v>
      </c>
      <c r="D5" s="6">
        <v>4.0</v>
      </c>
      <c r="E5" s="6">
        <v>128.0</v>
      </c>
      <c r="F5" s="6">
        <v>13.0</v>
      </c>
    </row>
    <row r="6" ht="15.75" customHeight="1">
      <c r="A6" s="5" t="s">
        <v>22</v>
      </c>
      <c r="B6" s="6">
        <v>2500000.0</v>
      </c>
      <c r="C6" s="6">
        <v>4230.0</v>
      </c>
      <c r="D6" s="6">
        <v>4.0</v>
      </c>
      <c r="E6" s="6">
        <v>128.0</v>
      </c>
      <c r="F6" s="6">
        <v>12.0</v>
      </c>
    </row>
    <row r="7" ht="15.75" customHeight="1">
      <c r="A7" s="1"/>
      <c r="B7" s="1"/>
      <c r="C7" s="1"/>
      <c r="D7" s="1"/>
      <c r="E7" s="1"/>
      <c r="F7" s="1"/>
    </row>
    <row r="8" ht="15.75" customHeight="1">
      <c r="A8" s="5" t="s">
        <v>23</v>
      </c>
      <c r="B8" s="5"/>
      <c r="C8" s="5"/>
      <c r="D8" s="1"/>
      <c r="E8" s="7"/>
      <c r="F8" s="4" t="s">
        <v>14</v>
      </c>
      <c r="G8" s="8" t="s">
        <v>24</v>
      </c>
      <c r="H8" s="8" t="s">
        <v>25</v>
      </c>
      <c r="I8" s="9" t="s">
        <v>26</v>
      </c>
      <c r="J8" s="9" t="s">
        <v>27</v>
      </c>
    </row>
    <row r="9" ht="15.75" customHeight="1">
      <c r="A9" s="10" t="s">
        <v>28</v>
      </c>
      <c r="B9" s="11"/>
      <c r="C9" s="12"/>
      <c r="D9" s="1"/>
      <c r="E9" s="4" t="s">
        <v>14</v>
      </c>
      <c r="F9" s="7">
        <v>1.0</v>
      </c>
      <c r="G9" s="7">
        <v>5.0</v>
      </c>
      <c r="H9" s="7">
        <v>5.0</v>
      </c>
      <c r="I9" s="7">
        <v>5.0</v>
      </c>
      <c r="J9" s="7">
        <v>3.0</v>
      </c>
    </row>
    <row r="10" ht="15.75" customHeight="1">
      <c r="A10" s="10" t="s">
        <v>29</v>
      </c>
      <c r="B10" s="11"/>
      <c r="C10" s="12"/>
      <c r="D10" s="1"/>
      <c r="E10" s="8" t="s">
        <v>24</v>
      </c>
      <c r="F10" s="13">
        <v>45778.0</v>
      </c>
      <c r="G10" s="7">
        <v>1.0</v>
      </c>
      <c r="H10" s="7">
        <v>1.0</v>
      </c>
      <c r="I10" s="7">
        <v>1.0</v>
      </c>
      <c r="J10" s="13">
        <v>45717.0</v>
      </c>
    </row>
    <row r="11" ht="15.75" customHeight="1">
      <c r="A11" s="10" t="s">
        <v>30</v>
      </c>
      <c r="B11" s="11"/>
      <c r="C11" s="12"/>
      <c r="D11" s="1"/>
      <c r="E11" s="14" t="s">
        <v>25</v>
      </c>
      <c r="F11" s="13">
        <v>45778.0</v>
      </c>
      <c r="G11" s="7">
        <v>1.0</v>
      </c>
      <c r="H11" s="7">
        <v>1.0</v>
      </c>
      <c r="I11" s="7">
        <v>1.0</v>
      </c>
      <c r="J11" s="13">
        <v>45717.0</v>
      </c>
    </row>
    <row r="12" ht="15.75" customHeight="1">
      <c r="A12" s="10" t="s">
        <v>31</v>
      </c>
      <c r="B12" s="11"/>
      <c r="C12" s="12"/>
      <c r="D12" s="1"/>
      <c r="E12" s="14" t="s">
        <v>26</v>
      </c>
      <c r="F12" s="13">
        <v>45778.0</v>
      </c>
      <c r="G12" s="7">
        <v>1.0</v>
      </c>
      <c r="H12" s="7">
        <v>1.0</v>
      </c>
      <c r="I12" s="7">
        <v>1.0</v>
      </c>
      <c r="J12" s="13">
        <v>45717.0</v>
      </c>
    </row>
    <row r="13" ht="15.75" customHeight="1">
      <c r="A13" s="10" t="s">
        <v>32</v>
      </c>
      <c r="B13" s="11"/>
      <c r="C13" s="12"/>
      <c r="D13" s="1"/>
      <c r="E13" s="14" t="s">
        <v>27</v>
      </c>
      <c r="F13" s="13">
        <v>45717.0</v>
      </c>
      <c r="G13" s="7">
        <v>3.0</v>
      </c>
      <c r="H13" s="7">
        <v>3.0</v>
      </c>
      <c r="I13" s="7">
        <v>3.0</v>
      </c>
      <c r="J13" s="7">
        <v>1.0</v>
      </c>
    </row>
    <row r="14" ht="15.75" customHeight="1">
      <c r="A14" s="15" t="s">
        <v>12</v>
      </c>
      <c r="B14" s="11"/>
      <c r="C14" s="12"/>
      <c r="D14" s="1"/>
      <c r="E14" s="1"/>
      <c r="F14" s="1"/>
    </row>
    <row r="15" ht="15.75" customHeight="1">
      <c r="E15" s="16" t="s">
        <v>33</v>
      </c>
    </row>
    <row r="16" ht="15.75" customHeight="1">
      <c r="E16" s="16">
        <v>1.0</v>
      </c>
      <c r="F16" s="16">
        <v>2.0</v>
      </c>
      <c r="G16" s="16">
        <v>3.0</v>
      </c>
      <c r="H16" s="16">
        <v>4.0</v>
      </c>
      <c r="I16" s="16">
        <v>5.0</v>
      </c>
      <c r="J16" s="16">
        <v>6.0</v>
      </c>
      <c r="K16" s="16">
        <v>7.0</v>
      </c>
    </row>
    <row r="17" ht="15.75" customHeight="1">
      <c r="E17" s="16">
        <v>0.0</v>
      </c>
      <c r="F17" s="16">
        <v>0.0</v>
      </c>
      <c r="G17" s="16">
        <v>0.58</v>
      </c>
      <c r="H17" s="16">
        <v>0.9</v>
      </c>
      <c r="I17" s="16">
        <v>1.12</v>
      </c>
      <c r="J17" s="16">
        <v>1.24</v>
      </c>
      <c r="K17" s="16">
        <v>1.32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6">
    <mergeCell ref="A11:C11"/>
    <mergeCell ref="A12:C12"/>
    <mergeCell ref="A13:C13"/>
    <mergeCell ref="A14:C14"/>
    <mergeCell ref="A9:C9"/>
    <mergeCell ref="A10:C1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9.88"/>
    <col customWidth="1" min="3" max="3" width="9.75"/>
    <col customWidth="1" min="4" max="4" width="10.13"/>
    <col customWidth="1" min="5" max="6" width="9.63"/>
    <col customWidth="1" min="7" max="7" width="12.88"/>
    <col customWidth="1" min="8" max="8" width="11.75"/>
    <col customWidth="1" min="9" max="9" width="7.63"/>
    <col customWidth="1" min="10" max="10" width="9.0"/>
    <col customWidth="1" min="14" max="14" width="14.0"/>
  </cols>
  <sheetData>
    <row r="1" ht="15.75" customHeight="1"/>
    <row r="2" ht="15.75" customHeight="1">
      <c r="A2" s="3" t="s">
        <v>13</v>
      </c>
      <c r="B2" s="4" t="s">
        <v>14</v>
      </c>
      <c r="C2" s="3" t="s">
        <v>15</v>
      </c>
      <c r="D2" s="4" t="s">
        <v>16</v>
      </c>
      <c r="E2" s="3" t="s">
        <v>17</v>
      </c>
      <c r="F2" s="3" t="s">
        <v>18</v>
      </c>
    </row>
    <row r="3" ht="15.75" customHeight="1">
      <c r="A3" s="5" t="s">
        <v>19</v>
      </c>
      <c r="B3" s="6">
        <v>2800000.0</v>
      </c>
      <c r="C3" s="6">
        <v>6000.0</v>
      </c>
      <c r="D3" s="6">
        <v>4.0</v>
      </c>
      <c r="E3" s="6">
        <v>64.0</v>
      </c>
      <c r="F3" s="6">
        <v>48.0</v>
      </c>
    </row>
    <row r="4" ht="15.75" customHeight="1">
      <c r="A4" s="5" t="s">
        <v>20</v>
      </c>
      <c r="B4" s="6">
        <v>2100000.0</v>
      </c>
      <c r="C4" s="6">
        <v>5020.0</v>
      </c>
      <c r="D4" s="6">
        <v>3.0</v>
      </c>
      <c r="E4" s="6">
        <v>64.0</v>
      </c>
      <c r="F4" s="6">
        <v>48.0</v>
      </c>
    </row>
    <row r="5" ht="15.75" customHeight="1">
      <c r="A5" s="5" t="s">
        <v>21</v>
      </c>
      <c r="B5" s="6">
        <v>2200000.0</v>
      </c>
      <c r="C5" s="6">
        <v>5000.0</v>
      </c>
      <c r="D5" s="6">
        <v>4.0</v>
      </c>
      <c r="E5" s="6">
        <v>128.0</v>
      </c>
      <c r="F5" s="6">
        <v>13.0</v>
      </c>
    </row>
    <row r="6" ht="15.75" customHeight="1">
      <c r="A6" s="5" t="s">
        <v>22</v>
      </c>
      <c r="B6" s="6">
        <v>2500000.0</v>
      </c>
      <c r="C6" s="6">
        <v>4230.0</v>
      </c>
      <c r="D6" s="6">
        <v>4.0</v>
      </c>
      <c r="E6" s="6">
        <v>128.0</v>
      </c>
      <c r="F6" s="6">
        <v>12.0</v>
      </c>
    </row>
    <row r="7" ht="15.75" customHeight="1">
      <c r="A7" s="10" t="s">
        <v>34</v>
      </c>
      <c r="B7" s="11"/>
      <c r="C7" s="11"/>
      <c r="D7" s="12"/>
      <c r="E7" s="1"/>
      <c r="F7" s="1"/>
    </row>
    <row r="8" ht="15.75" customHeight="1">
      <c r="D8" s="1"/>
    </row>
    <row r="9" ht="15.75" customHeight="1">
      <c r="A9" s="1"/>
      <c r="B9" s="1" t="s">
        <v>35</v>
      </c>
      <c r="C9" s="1" t="s">
        <v>36</v>
      </c>
      <c r="D9" s="1" t="s">
        <v>25</v>
      </c>
      <c r="E9" s="1" t="s">
        <v>37</v>
      </c>
      <c r="F9" s="1" t="s">
        <v>38</v>
      </c>
    </row>
    <row r="10" ht="15.75" customHeight="1">
      <c r="A10" s="1" t="s">
        <v>39</v>
      </c>
      <c r="B10" s="1">
        <v>1.0</v>
      </c>
      <c r="C10" s="1">
        <v>5.0</v>
      </c>
      <c r="D10" s="1">
        <v>5.0</v>
      </c>
      <c r="E10" s="1">
        <v>5.0</v>
      </c>
      <c r="F10" s="1">
        <v>3.0</v>
      </c>
    </row>
    <row r="11" ht="15.75" customHeight="1">
      <c r="A11" s="1" t="s">
        <v>40</v>
      </c>
      <c r="B11" s="17">
        <v>45778.0</v>
      </c>
      <c r="C11" s="1">
        <v>1.0</v>
      </c>
      <c r="D11" s="1">
        <v>1.0</v>
      </c>
      <c r="E11" s="1">
        <v>1.0</v>
      </c>
      <c r="F11" s="17">
        <v>45717.0</v>
      </c>
    </row>
    <row r="12" ht="15.75" customHeight="1">
      <c r="A12" s="1" t="s">
        <v>41</v>
      </c>
      <c r="B12" s="17">
        <v>45778.0</v>
      </c>
      <c r="C12" s="1">
        <v>1.0</v>
      </c>
      <c r="D12" s="1">
        <v>1.0</v>
      </c>
      <c r="E12" s="1">
        <v>1.0</v>
      </c>
      <c r="F12" s="17">
        <v>45717.0</v>
      </c>
    </row>
    <row r="13" ht="15.75" customHeight="1">
      <c r="A13" s="1" t="s">
        <v>42</v>
      </c>
      <c r="B13" s="17">
        <v>45778.0</v>
      </c>
      <c r="C13" s="1">
        <v>1.0</v>
      </c>
      <c r="D13" s="1">
        <v>1.0</v>
      </c>
      <c r="E13" s="1">
        <v>1.0</v>
      </c>
      <c r="F13" s="17">
        <v>45717.0</v>
      </c>
    </row>
    <row r="14" ht="15.75" customHeight="1">
      <c r="A14" s="1" t="s">
        <v>43</v>
      </c>
      <c r="B14" s="17">
        <v>45717.0</v>
      </c>
      <c r="C14" s="1">
        <v>3.0</v>
      </c>
      <c r="D14" s="1">
        <v>3.0</v>
      </c>
      <c r="E14" s="1">
        <v>3.0</v>
      </c>
      <c r="F14" s="1">
        <v>1.0</v>
      </c>
      <c r="J14" s="16"/>
      <c r="K14" s="16"/>
      <c r="L14" s="16"/>
      <c r="M14" s="16"/>
      <c r="N14" s="16"/>
    </row>
    <row r="15" ht="15.75" customHeight="1"/>
    <row r="16" ht="15.75" customHeight="1">
      <c r="A16" s="1" t="s">
        <v>44</v>
      </c>
    </row>
    <row r="17" ht="15.75" customHeight="1">
      <c r="A17" s="18"/>
      <c r="B17" s="6" t="s">
        <v>35</v>
      </c>
      <c r="C17" s="6" t="s">
        <v>36</v>
      </c>
      <c r="D17" s="6" t="s">
        <v>25</v>
      </c>
      <c r="E17" s="6" t="s">
        <v>37</v>
      </c>
      <c r="F17" s="6" t="s">
        <v>38</v>
      </c>
    </row>
    <row r="18" ht="15.75" customHeight="1">
      <c r="A18" s="18" t="s">
        <v>39</v>
      </c>
      <c r="B18" s="19">
        <v>1.0</v>
      </c>
      <c r="C18" s="19">
        <v>5.0</v>
      </c>
      <c r="D18" s="19">
        <v>5.0</v>
      </c>
      <c r="E18" s="19">
        <v>5.0</v>
      </c>
      <c r="F18" s="19">
        <v>3.0</v>
      </c>
    </row>
    <row r="19" ht="15.75" customHeight="1">
      <c r="A19" s="18" t="s">
        <v>40</v>
      </c>
      <c r="B19" s="19">
        <f t="shared" ref="B19:B21" si="1">1/5</f>
        <v>0.2</v>
      </c>
      <c r="C19" s="19">
        <v>1.0</v>
      </c>
      <c r="D19" s="19">
        <v>1.0</v>
      </c>
      <c r="E19" s="19">
        <v>1.0</v>
      </c>
      <c r="F19" s="19">
        <f t="shared" ref="F19:F21" si="2">1/3</f>
        <v>0.3333333333</v>
      </c>
    </row>
    <row r="20" ht="15.75" customHeight="1">
      <c r="A20" s="18" t="s">
        <v>41</v>
      </c>
      <c r="B20" s="19">
        <f t="shared" si="1"/>
        <v>0.2</v>
      </c>
      <c r="C20" s="19">
        <v>1.0</v>
      </c>
      <c r="D20" s="19">
        <v>1.0</v>
      </c>
      <c r="E20" s="19">
        <v>1.0</v>
      </c>
      <c r="F20" s="19">
        <f t="shared" si="2"/>
        <v>0.3333333333</v>
      </c>
    </row>
    <row r="21" ht="15.75" customHeight="1">
      <c r="A21" s="18" t="s">
        <v>42</v>
      </c>
      <c r="B21" s="19">
        <f t="shared" si="1"/>
        <v>0.2</v>
      </c>
      <c r="C21" s="19">
        <v>1.0</v>
      </c>
      <c r="D21" s="19">
        <v>1.0</v>
      </c>
      <c r="E21" s="19">
        <v>1.0</v>
      </c>
      <c r="F21" s="19">
        <f t="shared" si="2"/>
        <v>0.3333333333</v>
      </c>
    </row>
    <row r="22" ht="15.75" customHeight="1">
      <c r="A22" s="18" t="s">
        <v>43</v>
      </c>
      <c r="B22" s="19">
        <f>1/3</f>
        <v>0.3333333333</v>
      </c>
      <c r="C22" s="19">
        <v>3.0</v>
      </c>
      <c r="D22" s="19">
        <v>3.0</v>
      </c>
      <c r="E22" s="19">
        <v>3.0</v>
      </c>
      <c r="F22" s="19">
        <v>1.0</v>
      </c>
    </row>
    <row r="23" ht="15.75" customHeight="1">
      <c r="A23" s="18" t="s">
        <v>45</v>
      </c>
      <c r="B23" s="19">
        <f>sum(B18:B22)</f>
        <v>1.933333333</v>
      </c>
      <c r="C23" s="19">
        <f t="shared" ref="C23:F23" si="3">SUM(C18:C22)</f>
        <v>11</v>
      </c>
      <c r="D23" s="19">
        <f t="shared" si="3"/>
        <v>11</v>
      </c>
      <c r="E23" s="19">
        <f t="shared" si="3"/>
        <v>11</v>
      </c>
      <c r="F23" s="19">
        <f t="shared" si="3"/>
        <v>5</v>
      </c>
    </row>
    <row r="24" ht="15.75" customHeight="1"/>
    <row r="25" ht="15.75" customHeight="1">
      <c r="A25" s="1" t="s">
        <v>46</v>
      </c>
    </row>
    <row r="26" ht="15.75" customHeight="1">
      <c r="A26" s="4"/>
      <c r="B26" s="4" t="s">
        <v>35</v>
      </c>
      <c r="C26" s="4" t="s">
        <v>36</v>
      </c>
      <c r="D26" s="4" t="s">
        <v>25</v>
      </c>
      <c r="E26" s="4" t="s">
        <v>37</v>
      </c>
      <c r="F26" s="4" t="s">
        <v>38</v>
      </c>
      <c r="G26" s="4" t="s">
        <v>47</v>
      </c>
      <c r="H26" s="3" t="s">
        <v>48</v>
      </c>
    </row>
    <row r="27" ht="15.75" customHeight="1">
      <c r="A27" s="4" t="s">
        <v>39</v>
      </c>
      <c r="B27" s="20">
        <f t="shared" ref="B27:B31" si="4">B18/$B$23</f>
        <v>0.5172413793</v>
      </c>
      <c r="C27" s="20">
        <f t="shared" ref="C27:C31" si="5">C18/$C$23</f>
        <v>0.4545454545</v>
      </c>
      <c r="D27" s="20">
        <f t="shared" ref="D27:D32" si="6">D18/$D$23</f>
        <v>0.4545454545</v>
      </c>
      <c r="E27" s="20">
        <f t="shared" ref="E27:E31" si="7">E18/$E$23</f>
        <v>0.4545454545</v>
      </c>
      <c r="F27" s="20">
        <f t="shared" ref="F27:F31" si="8">F18/$F$23</f>
        <v>0.6</v>
      </c>
      <c r="G27" s="20">
        <f t="shared" ref="G27:G32" si="9">sum(B27:F27)</f>
        <v>2.480877743</v>
      </c>
      <c r="H27" s="20">
        <f t="shared" ref="H27:H32" si="10">AVERAGE(B27:F27)</f>
        <v>0.4961755486</v>
      </c>
    </row>
    <row r="28" ht="15.75" customHeight="1">
      <c r="A28" s="4" t="s">
        <v>40</v>
      </c>
      <c r="B28" s="20">
        <f t="shared" si="4"/>
        <v>0.1034482759</v>
      </c>
      <c r="C28" s="20">
        <f t="shared" si="5"/>
        <v>0.09090909091</v>
      </c>
      <c r="D28" s="20">
        <f t="shared" si="6"/>
        <v>0.09090909091</v>
      </c>
      <c r="E28" s="20">
        <f t="shared" si="7"/>
        <v>0.09090909091</v>
      </c>
      <c r="F28" s="20">
        <f t="shared" si="8"/>
        <v>0.06666666667</v>
      </c>
      <c r="G28" s="20">
        <f t="shared" si="9"/>
        <v>0.4428422153</v>
      </c>
      <c r="H28" s="20">
        <f t="shared" si="10"/>
        <v>0.08856844305</v>
      </c>
    </row>
    <row r="29" ht="15.75" customHeight="1">
      <c r="A29" s="4" t="s">
        <v>41</v>
      </c>
      <c r="B29" s="20">
        <f t="shared" si="4"/>
        <v>0.1034482759</v>
      </c>
      <c r="C29" s="20">
        <f t="shared" si="5"/>
        <v>0.09090909091</v>
      </c>
      <c r="D29" s="20">
        <f t="shared" si="6"/>
        <v>0.09090909091</v>
      </c>
      <c r="E29" s="20">
        <f t="shared" si="7"/>
        <v>0.09090909091</v>
      </c>
      <c r="F29" s="20">
        <f t="shared" si="8"/>
        <v>0.06666666667</v>
      </c>
      <c r="G29" s="20">
        <f t="shared" si="9"/>
        <v>0.4428422153</v>
      </c>
      <c r="H29" s="20">
        <f t="shared" si="10"/>
        <v>0.08856844305</v>
      </c>
    </row>
    <row r="30" ht="15.75" customHeight="1">
      <c r="A30" s="4" t="s">
        <v>42</v>
      </c>
      <c r="B30" s="20">
        <f t="shared" si="4"/>
        <v>0.1034482759</v>
      </c>
      <c r="C30" s="20">
        <f t="shared" si="5"/>
        <v>0.09090909091</v>
      </c>
      <c r="D30" s="20">
        <f t="shared" si="6"/>
        <v>0.09090909091</v>
      </c>
      <c r="E30" s="20">
        <f t="shared" si="7"/>
        <v>0.09090909091</v>
      </c>
      <c r="F30" s="20">
        <f t="shared" si="8"/>
        <v>0.06666666667</v>
      </c>
      <c r="G30" s="20">
        <f t="shared" si="9"/>
        <v>0.4428422153</v>
      </c>
      <c r="H30" s="20">
        <f t="shared" si="10"/>
        <v>0.08856844305</v>
      </c>
    </row>
    <row r="31" ht="15.75" customHeight="1">
      <c r="A31" s="4" t="s">
        <v>43</v>
      </c>
      <c r="B31" s="20">
        <f t="shared" si="4"/>
        <v>0.1724137931</v>
      </c>
      <c r="C31" s="20">
        <f t="shared" si="5"/>
        <v>0.2727272727</v>
      </c>
      <c r="D31" s="20">
        <f t="shared" si="6"/>
        <v>0.2727272727</v>
      </c>
      <c r="E31" s="20">
        <f t="shared" si="7"/>
        <v>0.2727272727</v>
      </c>
      <c r="F31" s="20">
        <f t="shared" si="8"/>
        <v>0.2</v>
      </c>
      <c r="G31" s="20">
        <f t="shared" si="9"/>
        <v>1.190595611</v>
      </c>
      <c r="H31" s="20">
        <f t="shared" si="10"/>
        <v>0.2381191223</v>
      </c>
    </row>
    <row r="32" ht="15.75" customHeight="1">
      <c r="A32" s="4" t="s">
        <v>45</v>
      </c>
      <c r="B32" s="20">
        <f>sum(B27:B31)</f>
        <v>1</v>
      </c>
      <c r="C32" s="20">
        <f>SUM(C27:C31)</f>
        <v>1</v>
      </c>
      <c r="D32" s="20">
        <f t="shared" si="6"/>
        <v>1</v>
      </c>
      <c r="E32" s="20">
        <f t="shared" ref="E32:F32" si="11">SUM(E27:E31)</f>
        <v>1</v>
      </c>
      <c r="F32" s="20">
        <f t="shared" si="11"/>
        <v>1</v>
      </c>
      <c r="G32" s="20">
        <f t="shared" si="9"/>
        <v>5</v>
      </c>
      <c r="H32" s="20">
        <f t="shared" si="10"/>
        <v>1</v>
      </c>
    </row>
    <row r="33" ht="15.75" customHeight="1"/>
    <row r="34" ht="15.75" customHeight="1">
      <c r="A34" s="1" t="s">
        <v>49</v>
      </c>
    </row>
    <row r="35" ht="15.75" customHeight="1">
      <c r="A35" s="18"/>
      <c r="B35" s="6" t="s">
        <v>35</v>
      </c>
      <c r="C35" s="6" t="s">
        <v>36</v>
      </c>
      <c r="D35" s="6" t="s">
        <v>25</v>
      </c>
      <c r="E35" s="6" t="s">
        <v>37</v>
      </c>
      <c r="F35" s="6" t="s">
        <v>38</v>
      </c>
      <c r="G35" s="6" t="s">
        <v>50</v>
      </c>
    </row>
    <row r="36" ht="15.75" customHeight="1">
      <c r="A36" s="18" t="s">
        <v>39</v>
      </c>
      <c r="B36" s="19">
        <v>1.0</v>
      </c>
      <c r="C36" s="19">
        <v>5.0</v>
      </c>
      <c r="D36" s="19">
        <v>5.0</v>
      </c>
      <c r="E36" s="19">
        <v>5.0</v>
      </c>
      <c r="F36" s="19">
        <v>3.0</v>
      </c>
      <c r="G36" s="21">
        <f t="shared" ref="G36:G40" si="12">(B36*$H$27)+(C36*$H$28)+(D36*$H$29)+(E36*$H$30)+(F36*$H$31)</f>
        <v>2.539059561</v>
      </c>
    </row>
    <row r="37" ht="15.75" customHeight="1">
      <c r="A37" s="18" t="s">
        <v>40</v>
      </c>
      <c r="B37" s="19">
        <f t="shared" ref="B37:B39" si="13">1/5</f>
        <v>0.2</v>
      </c>
      <c r="C37" s="19">
        <v>1.0</v>
      </c>
      <c r="D37" s="19">
        <v>1.0</v>
      </c>
      <c r="E37" s="19">
        <v>1.0</v>
      </c>
      <c r="F37" s="19">
        <f t="shared" ref="F37:F39" si="14">1/3</f>
        <v>0.3333333333</v>
      </c>
      <c r="G37" s="21">
        <f t="shared" si="12"/>
        <v>0.4443134796</v>
      </c>
    </row>
    <row r="38" ht="15.75" customHeight="1">
      <c r="A38" s="18" t="s">
        <v>41</v>
      </c>
      <c r="B38" s="19">
        <f t="shared" si="13"/>
        <v>0.2</v>
      </c>
      <c r="C38" s="19">
        <v>1.0</v>
      </c>
      <c r="D38" s="19">
        <v>1.0</v>
      </c>
      <c r="E38" s="19">
        <v>1.0</v>
      </c>
      <c r="F38" s="19">
        <f t="shared" si="14"/>
        <v>0.3333333333</v>
      </c>
      <c r="G38" s="21">
        <f t="shared" si="12"/>
        <v>0.4443134796</v>
      </c>
    </row>
    <row r="39" ht="15.75" customHeight="1">
      <c r="A39" s="18" t="s">
        <v>42</v>
      </c>
      <c r="B39" s="19">
        <f t="shared" si="13"/>
        <v>0.2</v>
      </c>
      <c r="C39" s="19">
        <v>1.0</v>
      </c>
      <c r="D39" s="19">
        <v>1.0</v>
      </c>
      <c r="E39" s="19">
        <v>1.0</v>
      </c>
      <c r="F39" s="19">
        <f t="shared" si="14"/>
        <v>0.3333333333</v>
      </c>
      <c r="G39" s="21">
        <f t="shared" si="12"/>
        <v>0.4443134796</v>
      </c>
    </row>
    <row r="40" ht="15.75" customHeight="1">
      <c r="A40" s="18" t="s">
        <v>43</v>
      </c>
      <c r="B40" s="19">
        <f>1/3</f>
        <v>0.3333333333</v>
      </c>
      <c r="C40" s="19">
        <v>3.0</v>
      </c>
      <c r="D40" s="19">
        <v>3.0</v>
      </c>
      <c r="E40" s="19">
        <v>3.0</v>
      </c>
      <c r="F40" s="19">
        <v>1.0</v>
      </c>
      <c r="G40" s="21">
        <f t="shared" si="12"/>
        <v>1.200626959</v>
      </c>
    </row>
    <row r="41" ht="15.75" customHeight="1">
      <c r="A41" s="18" t="s">
        <v>45</v>
      </c>
      <c r="B41" s="19">
        <f>sum(B36:B40)</f>
        <v>1.933333333</v>
      </c>
      <c r="C41" s="19">
        <f t="shared" ref="C41:F41" si="15">SUM(C36:C40)</f>
        <v>11</v>
      </c>
      <c r="D41" s="19">
        <f t="shared" si="15"/>
        <v>11</v>
      </c>
      <c r="E41" s="19">
        <f t="shared" si="15"/>
        <v>11</v>
      </c>
      <c r="F41" s="19">
        <f t="shared" si="15"/>
        <v>5</v>
      </c>
    </row>
    <row r="42" ht="15.75" customHeight="1"/>
    <row r="43" ht="15.75" customHeight="1">
      <c r="A43" s="16" t="s">
        <v>51</v>
      </c>
    </row>
    <row r="44" ht="15.75" customHeight="1">
      <c r="A44" s="16" t="s">
        <v>52</v>
      </c>
      <c r="B44" s="22">
        <f>((G36/H27)+(G37/H28)+(G38/H29)+(G39/H30)+(G40/H31))/5</f>
        <v>5.041844563</v>
      </c>
    </row>
    <row r="45" ht="15.75" customHeight="1">
      <c r="A45" s="16" t="s">
        <v>53</v>
      </c>
      <c r="B45" s="22">
        <f>(B44-5)/(5-1)</f>
        <v>0.01046114071</v>
      </c>
    </row>
    <row r="46" ht="15.75" customHeight="1">
      <c r="A46" s="16" t="s">
        <v>54</v>
      </c>
      <c r="B46" s="22">
        <f>'MATRIKS PERBANDINGAN'!I17</f>
        <v>1.12</v>
      </c>
    </row>
    <row r="47" ht="15.75" customHeight="1">
      <c r="A47" s="16" t="s">
        <v>55</v>
      </c>
      <c r="B47" s="22">
        <f>B45/B46</f>
        <v>0.009340304204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7:D7"/>
    <mergeCell ref="A16:F16"/>
    <mergeCell ref="A25:H25"/>
    <mergeCell ref="A34:C34"/>
    <mergeCell ref="A43:C4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9.88"/>
    <col customWidth="1" min="3" max="3" width="9.75"/>
    <col customWidth="1" min="4" max="4" width="10.13"/>
    <col customWidth="1" min="5" max="6" width="9.63"/>
    <col customWidth="1" min="7" max="7" width="12.88"/>
  </cols>
  <sheetData>
    <row r="1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13</v>
      </c>
      <c r="B2" s="4" t="s">
        <v>14</v>
      </c>
      <c r="C2" s="3" t="s">
        <v>15</v>
      </c>
      <c r="D2" s="4" t="s">
        <v>16</v>
      </c>
      <c r="E2" s="3" t="s">
        <v>17</v>
      </c>
      <c r="F2" s="3" t="s">
        <v>18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5" t="s">
        <v>19</v>
      </c>
      <c r="B3" s="6">
        <v>2800000.0</v>
      </c>
      <c r="C3" s="6">
        <v>6000.0</v>
      </c>
      <c r="D3" s="6">
        <v>4.0</v>
      </c>
      <c r="E3" s="6">
        <v>64.0</v>
      </c>
      <c r="F3" s="6">
        <v>48.0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5" t="s">
        <v>20</v>
      </c>
      <c r="B4" s="6">
        <v>2100000.0</v>
      </c>
      <c r="C4" s="6">
        <v>5020.0</v>
      </c>
      <c r="D4" s="6">
        <v>3.0</v>
      </c>
      <c r="E4" s="6">
        <v>64.0</v>
      </c>
      <c r="F4" s="6">
        <v>48.0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5" t="s">
        <v>21</v>
      </c>
      <c r="B5" s="6">
        <v>2200000.0</v>
      </c>
      <c r="C5" s="6">
        <v>5000.0</v>
      </c>
      <c r="D5" s="6">
        <v>4.0</v>
      </c>
      <c r="E5" s="6">
        <v>128.0</v>
      </c>
      <c r="F5" s="6">
        <v>13.0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5" t="s">
        <v>22</v>
      </c>
      <c r="B6" s="6">
        <v>2500000.0</v>
      </c>
      <c r="C6" s="6">
        <v>4230.0</v>
      </c>
      <c r="D6" s="6">
        <v>4.0</v>
      </c>
      <c r="E6" s="6">
        <v>128.0</v>
      </c>
      <c r="F6" s="6">
        <v>12.0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0" t="s">
        <v>34</v>
      </c>
      <c r="B7" s="11"/>
      <c r="C7" s="11"/>
      <c r="D7" s="12"/>
      <c r="E7" s="1"/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" t="s">
        <v>56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1" t="s">
        <v>19</v>
      </c>
      <c r="C10" s="1" t="s">
        <v>20</v>
      </c>
      <c r="D10" s="1" t="s">
        <v>21</v>
      </c>
      <c r="E10" s="1" t="s">
        <v>22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" t="s">
        <v>19</v>
      </c>
      <c r="B11" s="1">
        <v>1.0</v>
      </c>
      <c r="C11" s="17">
        <v>45839.0</v>
      </c>
      <c r="D11" s="17">
        <v>45809.0</v>
      </c>
      <c r="E11" s="17">
        <v>45717.0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" t="s">
        <v>20</v>
      </c>
      <c r="B12" s="1">
        <v>7.0</v>
      </c>
      <c r="C12" s="1">
        <v>1.0</v>
      </c>
      <c r="D12" s="1">
        <v>2.0</v>
      </c>
      <c r="E12" s="1">
        <v>3.0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" t="s">
        <v>21</v>
      </c>
      <c r="B13" s="1">
        <v>6.0</v>
      </c>
      <c r="C13" s="17">
        <v>45689.0</v>
      </c>
      <c r="D13" s="1">
        <v>1.0</v>
      </c>
      <c r="E13" s="1">
        <v>3.0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" t="s">
        <v>22</v>
      </c>
      <c r="B14" s="1">
        <v>3.0</v>
      </c>
      <c r="C14" s="17">
        <v>45717.0</v>
      </c>
      <c r="D14" s="17">
        <v>45717.0</v>
      </c>
      <c r="E14" s="1">
        <v>1.0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" t="s">
        <v>57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1" t="s">
        <v>19</v>
      </c>
      <c r="C17" s="1" t="s">
        <v>20</v>
      </c>
      <c r="D17" s="1" t="s">
        <v>21</v>
      </c>
      <c r="E17" s="1" t="s">
        <v>22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" t="s">
        <v>19</v>
      </c>
      <c r="B18" s="23">
        <v>1.0</v>
      </c>
      <c r="C18" s="23">
        <f>1/7</f>
        <v>0.1428571429</v>
      </c>
      <c r="D18" s="23">
        <f>1/6</f>
        <v>0.1666666667</v>
      </c>
      <c r="E18" s="23">
        <f>1/3</f>
        <v>0.3333333333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" t="s">
        <v>20</v>
      </c>
      <c r="B19" s="23">
        <v>7.0</v>
      </c>
      <c r="C19" s="23">
        <v>1.0</v>
      </c>
      <c r="D19" s="23">
        <v>2.0</v>
      </c>
      <c r="E19" s="23">
        <v>3.0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" t="s">
        <v>21</v>
      </c>
      <c r="B20" s="23">
        <v>6.0</v>
      </c>
      <c r="C20" s="23">
        <f>1/2</f>
        <v>0.5</v>
      </c>
      <c r="D20" s="23">
        <v>1.0</v>
      </c>
      <c r="E20" s="23">
        <v>3.0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" t="s">
        <v>22</v>
      </c>
      <c r="B21" s="23">
        <v>3.0</v>
      </c>
      <c r="C21" s="23">
        <f t="shared" ref="C21:D21" si="1">1/3</f>
        <v>0.3333333333</v>
      </c>
      <c r="D21" s="23">
        <f t="shared" si="1"/>
        <v>0.3333333333</v>
      </c>
      <c r="E21" s="23">
        <v>1.0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" t="s">
        <v>47</v>
      </c>
      <c r="B22" s="23">
        <f t="shared" ref="B22:E22" si="2">sum(B18:B21)</f>
        <v>17</v>
      </c>
      <c r="C22" s="23">
        <f t="shared" si="2"/>
        <v>1.976190476</v>
      </c>
      <c r="D22" s="23">
        <f t="shared" si="2"/>
        <v>3.5</v>
      </c>
      <c r="E22" s="23">
        <f t="shared" si="2"/>
        <v>7.333333333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" t="s">
        <v>58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4"/>
      <c r="B25" s="4" t="s">
        <v>19</v>
      </c>
      <c r="C25" s="4" t="s">
        <v>20</v>
      </c>
      <c r="D25" s="4" t="s">
        <v>21</v>
      </c>
      <c r="E25" s="4" t="s">
        <v>22</v>
      </c>
      <c r="F25" s="4" t="s">
        <v>47</v>
      </c>
      <c r="G25" s="3" t="s">
        <v>48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4" t="s">
        <v>19</v>
      </c>
      <c r="B26" s="20">
        <f t="shared" ref="B26:B29" si="3">B18/$B$22</f>
        <v>0.05882352941</v>
      </c>
      <c r="C26" s="20">
        <f t="shared" ref="C26:C29" si="4">C18/$C$22</f>
        <v>0.07228915663</v>
      </c>
      <c r="D26" s="20">
        <f t="shared" ref="D26:D29" si="5">D18/$D$22</f>
        <v>0.04761904762</v>
      </c>
      <c r="E26" s="20">
        <f t="shared" ref="E26:E29" si="6">E18/$E$22</f>
        <v>0.04545454545</v>
      </c>
      <c r="F26" s="20">
        <f t="shared" ref="F26:F30" si="7">sum(B26:E26)</f>
        <v>0.2241862791</v>
      </c>
      <c r="G26" s="20">
        <f t="shared" ref="G26:G30" si="8">AVERAGE(B26:E26)</f>
        <v>0.05604656978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4" t="s">
        <v>20</v>
      </c>
      <c r="B27" s="20">
        <f t="shared" si="3"/>
        <v>0.4117647059</v>
      </c>
      <c r="C27" s="20">
        <f t="shared" si="4"/>
        <v>0.5060240964</v>
      </c>
      <c r="D27" s="20">
        <f t="shared" si="5"/>
        <v>0.5714285714</v>
      </c>
      <c r="E27" s="20">
        <f t="shared" si="6"/>
        <v>0.4090909091</v>
      </c>
      <c r="F27" s="20">
        <f t="shared" si="7"/>
        <v>1.898308283</v>
      </c>
      <c r="G27" s="20">
        <f t="shared" si="8"/>
        <v>0.4745770707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4" t="s">
        <v>21</v>
      </c>
      <c r="B28" s="20">
        <f t="shared" si="3"/>
        <v>0.3529411765</v>
      </c>
      <c r="C28" s="20">
        <f t="shared" si="4"/>
        <v>0.2530120482</v>
      </c>
      <c r="D28" s="20">
        <f t="shared" si="5"/>
        <v>0.2857142857</v>
      </c>
      <c r="E28" s="20">
        <f t="shared" si="6"/>
        <v>0.4090909091</v>
      </c>
      <c r="F28" s="20">
        <f t="shared" si="7"/>
        <v>1.300758419</v>
      </c>
      <c r="G28" s="20">
        <f t="shared" si="8"/>
        <v>0.3251896049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4" t="s">
        <v>22</v>
      </c>
      <c r="B29" s="20">
        <f t="shared" si="3"/>
        <v>0.1764705882</v>
      </c>
      <c r="C29" s="20">
        <f t="shared" si="4"/>
        <v>0.1686746988</v>
      </c>
      <c r="D29" s="20">
        <f t="shared" si="5"/>
        <v>0.09523809524</v>
      </c>
      <c r="E29" s="20">
        <f t="shared" si="6"/>
        <v>0.1363636364</v>
      </c>
      <c r="F29" s="20">
        <f t="shared" si="7"/>
        <v>0.5767470186</v>
      </c>
      <c r="G29" s="20">
        <f t="shared" si="8"/>
        <v>0.1441867547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4" t="s">
        <v>45</v>
      </c>
      <c r="B30" s="20">
        <f>sum(B26:B29)</f>
        <v>1</v>
      </c>
      <c r="C30" s="20">
        <f>SUM(C26:C29)</f>
        <v>1</v>
      </c>
      <c r="D30" s="20">
        <f>sum(D26:D29)</f>
        <v>1</v>
      </c>
      <c r="E30" s="20">
        <f>SUM(E26:E29)</f>
        <v>1</v>
      </c>
      <c r="F30" s="20">
        <f t="shared" si="7"/>
        <v>4</v>
      </c>
      <c r="G30" s="20">
        <f t="shared" si="8"/>
        <v>1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" t="s">
        <v>59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6"/>
      <c r="B33" s="4" t="s">
        <v>19</v>
      </c>
      <c r="C33" s="4" t="s">
        <v>20</v>
      </c>
      <c r="D33" s="4" t="s">
        <v>21</v>
      </c>
      <c r="E33" s="4" t="s">
        <v>22</v>
      </c>
      <c r="F33" s="4" t="s">
        <v>47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6" t="s">
        <v>39</v>
      </c>
      <c r="B34" s="19">
        <v>1.0</v>
      </c>
      <c r="C34" s="19">
        <f>1/7</f>
        <v>0.1428571429</v>
      </c>
      <c r="D34" s="19">
        <f>1/6</f>
        <v>0.1666666667</v>
      </c>
      <c r="E34" s="19">
        <f>1/3</f>
        <v>0.3333333333</v>
      </c>
      <c r="F34" s="21">
        <f t="shared" ref="F34:F37" si="9">(B34*$G$26)+(C34*$G$27)+(D34*$G$28)+(E34*$G$29)</f>
        <v>0.2261038132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6" t="s">
        <v>40</v>
      </c>
      <c r="B35" s="19">
        <v>7.0</v>
      </c>
      <c r="C35" s="19">
        <v>1.0</v>
      </c>
      <c r="D35" s="19">
        <v>2.0</v>
      </c>
      <c r="E35" s="19">
        <v>3.0</v>
      </c>
      <c r="F35" s="21">
        <f t="shared" si="9"/>
        <v>1.949842533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6" t="s">
        <v>41</v>
      </c>
      <c r="B36" s="19">
        <v>6.0</v>
      </c>
      <c r="C36" s="19">
        <f t="shared" ref="C36:C37" si="10">1/3</f>
        <v>0.3333333333</v>
      </c>
      <c r="D36" s="19">
        <v>1.0</v>
      </c>
      <c r="E36" s="19">
        <v>3.0</v>
      </c>
      <c r="F36" s="21">
        <f t="shared" si="9"/>
        <v>1.252221644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6" t="s">
        <v>42</v>
      </c>
      <c r="B37" s="19">
        <v>3.0</v>
      </c>
      <c r="C37" s="19">
        <f t="shared" si="10"/>
        <v>0.3333333333</v>
      </c>
      <c r="D37" s="19">
        <f>1/3</f>
        <v>0.3333333333</v>
      </c>
      <c r="E37" s="19">
        <v>1.0</v>
      </c>
      <c r="F37" s="21">
        <f t="shared" si="9"/>
        <v>0.5789153558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6" t="s">
        <v>45</v>
      </c>
      <c r="B38" s="19">
        <f>sum(B34:B37)</f>
        <v>17</v>
      </c>
      <c r="C38" s="19">
        <f t="shared" ref="C38:E38" si="11">SUM(C34:C37)</f>
        <v>1.80952381</v>
      </c>
      <c r="D38" s="19">
        <f t="shared" si="11"/>
        <v>3.5</v>
      </c>
      <c r="E38" s="19">
        <f t="shared" si="11"/>
        <v>7.333333333</v>
      </c>
      <c r="F38" s="6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 t="s">
        <v>51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 t="s">
        <v>52</v>
      </c>
      <c r="B41" s="25">
        <f>((F34/G26)+(F35/G27)+(F36/G28)+(F37/G29))/4</f>
        <v>4.002146155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 t="s">
        <v>53</v>
      </c>
      <c r="B42" s="25">
        <f>(B41-4)/(4-1)</f>
        <v>0.0007153849353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 t="s">
        <v>54</v>
      </c>
      <c r="B43" s="25">
        <f>'MATRIKS PERBANDINGAN'!H17</f>
        <v>0.9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 t="s">
        <v>55</v>
      </c>
      <c r="B44" s="25">
        <f>B42/B43</f>
        <v>0.0007948721504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7:D7"/>
    <mergeCell ref="A24:G24"/>
    <mergeCell ref="A32:C32"/>
    <mergeCell ref="A40:C40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9.88"/>
    <col customWidth="1" min="3" max="3" width="9.75"/>
    <col customWidth="1" min="4" max="4" width="10.13"/>
    <col customWidth="1" min="5" max="6" width="9.63"/>
    <col customWidth="1" min="7" max="7" width="12.88"/>
  </cols>
  <sheetData>
    <row r="1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13</v>
      </c>
      <c r="B2" s="4" t="s">
        <v>14</v>
      </c>
      <c r="C2" s="3" t="s">
        <v>15</v>
      </c>
      <c r="D2" s="4" t="s">
        <v>16</v>
      </c>
      <c r="E2" s="3" t="s">
        <v>17</v>
      </c>
      <c r="F2" s="3" t="s">
        <v>18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5" t="s">
        <v>19</v>
      </c>
      <c r="B3" s="6">
        <v>2800000.0</v>
      </c>
      <c r="C3" s="6">
        <v>6000.0</v>
      </c>
      <c r="D3" s="6">
        <v>4.0</v>
      </c>
      <c r="E3" s="6">
        <v>64.0</v>
      </c>
      <c r="F3" s="6">
        <v>48.0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5" t="s">
        <v>20</v>
      </c>
      <c r="B4" s="6">
        <v>2100000.0</v>
      </c>
      <c r="C4" s="6">
        <v>5020.0</v>
      </c>
      <c r="D4" s="6">
        <v>3.0</v>
      </c>
      <c r="E4" s="6">
        <v>64.0</v>
      </c>
      <c r="F4" s="6">
        <v>48.0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5" t="s">
        <v>21</v>
      </c>
      <c r="B5" s="6">
        <v>2200000.0</v>
      </c>
      <c r="C5" s="6">
        <v>5000.0</v>
      </c>
      <c r="D5" s="6">
        <v>4.0</v>
      </c>
      <c r="E5" s="6">
        <v>128.0</v>
      </c>
      <c r="F5" s="6">
        <v>13.0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5" t="s">
        <v>22</v>
      </c>
      <c r="B6" s="6">
        <v>2500000.0</v>
      </c>
      <c r="C6" s="6">
        <v>4230.0</v>
      </c>
      <c r="D6" s="6">
        <v>4.0</v>
      </c>
      <c r="E6" s="6">
        <v>128.0</v>
      </c>
      <c r="F6" s="6">
        <v>12.0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0" t="s">
        <v>34</v>
      </c>
      <c r="B7" s="11"/>
      <c r="C7" s="11"/>
      <c r="D7" s="12"/>
      <c r="E7" s="1"/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" t="s">
        <v>56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1" t="s">
        <v>19</v>
      </c>
      <c r="C10" s="1" t="s">
        <v>20</v>
      </c>
      <c r="D10" s="1" t="s">
        <v>21</v>
      </c>
      <c r="E10" s="1" t="s">
        <v>22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" t="s">
        <v>19</v>
      </c>
      <c r="B11" s="1">
        <v>1.0</v>
      </c>
      <c r="C11" s="1">
        <v>1.0</v>
      </c>
      <c r="D11" s="17">
        <v>45689.0</v>
      </c>
      <c r="E11" s="17">
        <v>45689.0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" t="s">
        <v>20</v>
      </c>
      <c r="B12" s="1">
        <v>1.0</v>
      </c>
      <c r="C12" s="1">
        <v>1.0</v>
      </c>
      <c r="D12" s="17">
        <v>45689.0</v>
      </c>
      <c r="E12" s="17">
        <v>45689.0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" t="s">
        <v>21</v>
      </c>
      <c r="B13" s="1">
        <v>2.0</v>
      </c>
      <c r="C13" s="1">
        <v>2.0</v>
      </c>
      <c r="D13" s="1">
        <v>1.0</v>
      </c>
      <c r="E13" s="1">
        <v>1.0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" t="s">
        <v>22</v>
      </c>
      <c r="B14" s="1">
        <v>2.0</v>
      </c>
      <c r="C14" s="1">
        <v>2.0</v>
      </c>
      <c r="D14" s="1">
        <v>1.0</v>
      </c>
      <c r="E14" s="1">
        <v>1.0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" t="s">
        <v>57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1" t="s">
        <v>19</v>
      </c>
      <c r="C17" s="1" t="s">
        <v>20</v>
      </c>
      <c r="D17" s="1" t="s">
        <v>21</v>
      </c>
      <c r="E17" s="1" t="s">
        <v>22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" t="s">
        <v>19</v>
      </c>
      <c r="B18" s="23">
        <v>1.0</v>
      </c>
      <c r="C18" s="23">
        <v>1.0</v>
      </c>
      <c r="D18" s="23">
        <f t="shared" ref="D18:E18" si="1">1/2</f>
        <v>0.5</v>
      </c>
      <c r="E18" s="23">
        <f t="shared" si="1"/>
        <v>0.5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" t="s">
        <v>20</v>
      </c>
      <c r="B19" s="23">
        <v>1.0</v>
      </c>
      <c r="C19" s="23">
        <v>1.0</v>
      </c>
      <c r="D19" s="23">
        <f t="shared" ref="D19:E19" si="2">1/2</f>
        <v>0.5</v>
      </c>
      <c r="E19" s="23">
        <f t="shared" si="2"/>
        <v>0.5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" t="s">
        <v>21</v>
      </c>
      <c r="B20" s="23">
        <v>2.0</v>
      </c>
      <c r="C20" s="23">
        <v>2.0</v>
      </c>
      <c r="D20" s="23">
        <v>1.0</v>
      </c>
      <c r="E20" s="23">
        <v>1.0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" t="s">
        <v>22</v>
      </c>
      <c r="B21" s="23">
        <v>2.0</v>
      </c>
      <c r="C21" s="23">
        <v>2.0</v>
      </c>
      <c r="D21" s="23">
        <v>1.0</v>
      </c>
      <c r="E21" s="23">
        <v>1.0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" t="s">
        <v>47</v>
      </c>
      <c r="B22" s="23">
        <f t="shared" ref="B22:E22" si="3">sum(B18:B21)</f>
        <v>6</v>
      </c>
      <c r="C22" s="23">
        <f t="shared" si="3"/>
        <v>6</v>
      </c>
      <c r="D22" s="23">
        <f t="shared" si="3"/>
        <v>3</v>
      </c>
      <c r="E22" s="23">
        <f t="shared" si="3"/>
        <v>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" t="s">
        <v>58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4"/>
      <c r="B25" s="4" t="s">
        <v>19</v>
      </c>
      <c r="C25" s="4" t="s">
        <v>20</v>
      </c>
      <c r="D25" s="4" t="s">
        <v>21</v>
      </c>
      <c r="E25" s="4" t="s">
        <v>22</v>
      </c>
      <c r="F25" s="4" t="s">
        <v>47</v>
      </c>
      <c r="G25" s="3" t="s">
        <v>48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4" t="s">
        <v>19</v>
      </c>
      <c r="B26" s="26">
        <f t="shared" ref="B26:B29" si="4">B18/$B$22</f>
        <v>0.1666666667</v>
      </c>
      <c r="C26" s="26">
        <f t="shared" ref="C26:C29" si="5">C18/$C$22</f>
        <v>0.1666666667</v>
      </c>
      <c r="D26" s="26">
        <f t="shared" ref="D26:D29" si="6">D18/$D$22</f>
        <v>0.1666666667</v>
      </c>
      <c r="E26" s="26">
        <f>E18/$E$22</f>
        <v>0.1666666667</v>
      </c>
      <c r="F26" s="27">
        <f t="shared" ref="F26:F30" si="7">sum(B26:E26)</f>
        <v>0.6666666667</v>
      </c>
      <c r="G26" s="27">
        <f t="shared" ref="G26:G30" si="8">AVERAGE(B26:E26)</f>
        <v>0.1666666667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4" t="s">
        <v>20</v>
      </c>
      <c r="B27" s="26">
        <f t="shared" si="4"/>
        <v>0.1666666667</v>
      </c>
      <c r="C27" s="26">
        <f t="shared" si="5"/>
        <v>0.1666666667</v>
      </c>
      <c r="D27" s="26">
        <f t="shared" si="6"/>
        <v>0.1666666667</v>
      </c>
      <c r="E27" s="26">
        <f t="shared" ref="E27:E29" si="9">E19/$B$22</f>
        <v>0.08333333333</v>
      </c>
      <c r="F27" s="27">
        <f t="shared" si="7"/>
        <v>0.5833333333</v>
      </c>
      <c r="G27" s="27">
        <f t="shared" si="8"/>
        <v>0.1458333333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4" t="s">
        <v>21</v>
      </c>
      <c r="B28" s="26">
        <f t="shared" si="4"/>
        <v>0.3333333333</v>
      </c>
      <c r="C28" s="26">
        <f t="shared" si="5"/>
        <v>0.3333333333</v>
      </c>
      <c r="D28" s="26">
        <f t="shared" si="6"/>
        <v>0.3333333333</v>
      </c>
      <c r="E28" s="26">
        <f t="shared" si="9"/>
        <v>0.1666666667</v>
      </c>
      <c r="F28" s="27">
        <f t="shared" si="7"/>
        <v>1.166666667</v>
      </c>
      <c r="G28" s="27">
        <f t="shared" si="8"/>
        <v>0.2916666667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4" t="s">
        <v>22</v>
      </c>
      <c r="B29" s="26">
        <f t="shared" si="4"/>
        <v>0.3333333333</v>
      </c>
      <c r="C29" s="26">
        <f t="shared" si="5"/>
        <v>0.3333333333</v>
      </c>
      <c r="D29" s="26">
        <f t="shared" si="6"/>
        <v>0.3333333333</v>
      </c>
      <c r="E29" s="26">
        <f t="shared" si="9"/>
        <v>0.1666666667</v>
      </c>
      <c r="F29" s="27">
        <f t="shared" si="7"/>
        <v>1.166666667</v>
      </c>
      <c r="G29" s="27">
        <f t="shared" si="8"/>
        <v>0.2916666667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4" t="s">
        <v>45</v>
      </c>
      <c r="B30" s="26">
        <f t="shared" ref="B30:E30" si="10">sum(B26:B29)</f>
        <v>1</v>
      </c>
      <c r="C30" s="26">
        <f t="shared" si="10"/>
        <v>1</v>
      </c>
      <c r="D30" s="26">
        <f t="shared" si="10"/>
        <v>1</v>
      </c>
      <c r="E30" s="26">
        <f t="shared" si="10"/>
        <v>0.5833333333</v>
      </c>
      <c r="F30" s="27">
        <f t="shared" si="7"/>
        <v>3.583333333</v>
      </c>
      <c r="G30" s="27">
        <f t="shared" si="8"/>
        <v>0.8958333333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" t="s">
        <v>59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6"/>
      <c r="B33" s="4" t="s">
        <v>19</v>
      </c>
      <c r="C33" s="4" t="s">
        <v>20</v>
      </c>
      <c r="D33" s="4" t="s">
        <v>21</v>
      </c>
      <c r="E33" s="4" t="s">
        <v>22</v>
      </c>
      <c r="F33" s="4" t="s">
        <v>47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6" t="s">
        <v>39</v>
      </c>
      <c r="B34" s="26">
        <v>1.0</v>
      </c>
      <c r="C34" s="26">
        <v>1.0</v>
      </c>
      <c r="D34" s="26">
        <f t="shared" ref="D34:E34" si="11">1/2</f>
        <v>0.5</v>
      </c>
      <c r="E34" s="26">
        <f t="shared" si="11"/>
        <v>0.5</v>
      </c>
      <c r="F34" s="21">
        <f t="shared" ref="F34:F37" si="13">(B34*$G$26)+(C34*$G$27)+(D34*$G$28)+(E34*$G$29)</f>
        <v>0.6041666667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6" t="s">
        <v>40</v>
      </c>
      <c r="B35" s="26">
        <v>1.0</v>
      </c>
      <c r="C35" s="26">
        <v>1.0</v>
      </c>
      <c r="D35" s="26">
        <f t="shared" ref="D35:E35" si="12">1/2</f>
        <v>0.5</v>
      </c>
      <c r="E35" s="26">
        <f t="shared" si="12"/>
        <v>0.5</v>
      </c>
      <c r="F35" s="21">
        <f t="shared" si="13"/>
        <v>0.6041666667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6" t="s">
        <v>41</v>
      </c>
      <c r="B36" s="26">
        <v>2.0</v>
      </c>
      <c r="C36" s="26">
        <v>2.0</v>
      </c>
      <c r="D36" s="26">
        <v>1.0</v>
      </c>
      <c r="E36" s="26">
        <v>1.0</v>
      </c>
      <c r="F36" s="21">
        <f t="shared" si="13"/>
        <v>1.208333333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6" t="s">
        <v>42</v>
      </c>
      <c r="B37" s="26">
        <v>2.0</v>
      </c>
      <c r="C37" s="26">
        <v>2.0</v>
      </c>
      <c r="D37" s="26">
        <v>1.0</v>
      </c>
      <c r="E37" s="26">
        <v>1.0</v>
      </c>
      <c r="F37" s="21">
        <f t="shared" si="13"/>
        <v>1.208333333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6" t="s">
        <v>45</v>
      </c>
      <c r="B38" s="26">
        <f t="shared" ref="B38:E38" si="14">sum(B34:B37)</f>
        <v>6</v>
      </c>
      <c r="C38" s="26">
        <f t="shared" si="14"/>
        <v>6</v>
      </c>
      <c r="D38" s="26">
        <f t="shared" si="14"/>
        <v>3</v>
      </c>
      <c r="E38" s="26">
        <f t="shared" si="14"/>
        <v>3</v>
      </c>
      <c r="F38" s="6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 t="s">
        <v>51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 t="s">
        <v>52</v>
      </c>
      <c r="B41" s="25">
        <f>((F34/G26)+(F35/G27)+(F36/G28)+(F37/G29))/4</f>
        <v>4.013392857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 t="s">
        <v>53</v>
      </c>
      <c r="B42" s="25">
        <f>(B41-4)/(4-1)</f>
        <v>0.004464285714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 t="s">
        <v>54</v>
      </c>
      <c r="B43" s="25">
        <f>'MATRIKS PERBANDINGAN'!H17</f>
        <v>0.9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 t="s">
        <v>55</v>
      </c>
      <c r="B44" s="25">
        <f>B42/B43</f>
        <v>0.00496031746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7:D7"/>
    <mergeCell ref="A24:G24"/>
    <mergeCell ref="A32:C32"/>
    <mergeCell ref="A40:C40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9.88"/>
    <col customWidth="1" min="3" max="3" width="9.75"/>
    <col customWidth="1" min="4" max="4" width="10.13"/>
    <col customWidth="1" min="5" max="6" width="9.63"/>
    <col customWidth="1" min="7" max="7" width="12.88"/>
  </cols>
  <sheetData>
    <row r="1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13</v>
      </c>
      <c r="B2" s="4" t="s">
        <v>14</v>
      </c>
      <c r="C2" s="3" t="s">
        <v>15</v>
      </c>
      <c r="D2" s="4" t="s">
        <v>16</v>
      </c>
      <c r="E2" s="3" t="s">
        <v>17</v>
      </c>
      <c r="F2" s="3" t="s">
        <v>18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5" t="s">
        <v>19</v>
      </c>
      <c r="B3" s="6">
        <v>2800000.0</v>
      </c>
      <c r="C3" s="6">
        <v>6000.0</v>
      </c>
      <c r="D3" s="6">
        <v>4.0</v>
      </c>
      <c r="E3" s="6">
        <v>64.0</v>
      </c>
      <c r="F3" s="6">
        <v>48.0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5" t="s">
        <v>20</v>
      </c>
      <c r="B4" s="6">
        <v>2100000.0</v>
      </c>
      <c r="C4" s="6">
        <v>5020.0</v>
      </c>
      <c r="D4" s="6">
        <v>3.0</v>
      </c>
      <c r="E4" s="6">
        <v>64.0</v>
      </c>
      <c r="F4" s="6">
        <v>48.0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5" t="s">
        <v>21</v>
      </c>
      <c r="B5" s="6">
        <v>2200000.0</v>
      </c>
      <c r="C5" s="6">
        <v>5000.0</v>
      </c>
      <c r="D5" s="6">
        <v>4.0</v>
      </c>
      <c r="E5" s="6">
        <v>128.0</v>
      </c>
      <c r="F5" s="6">
        <v>13.0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5" t="s">
        <v>22</v>
      </c>
      <c r="B6" s="6">
        <v>2500000.0</v>
      </c>
      <c r="C6" s="6">
        <v>4230.0</v>
      </c>
      <c r="D6" s="6">
        <v>4.0</v>
      </c>
      <c r="E6" s="6">
        <v>128.0</v>
      </c>
      <c r="F6" s="6">
        <v>12.0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0" t="s">
        <v>34</v>
      </c>
      <c r="B7" s="11"/>
      <c r="C7" s="11"/>
      <c r="D7" s="12"/>
      <c r="E7" s="1"/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" t="s">
        <v>56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1" t="s">
        <v>19</v>
      </c>
      <c r="C10" s="1" t="s">
        <v>20</v>
      </c>
      <c r="D10" s="1" t="s">
        <v>21</v>
      </c>
      <c r="E10" s="1" t="s">
        <v>22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" t="s">
        <v>19</v>
      </c>
      <c r="B11" s="1">
        <v>1.0</v>
      </c>
      <c r="C11" s="1">
        <v>3.0</v>
      </c>
      <c r="D11" s="1">
        <v>1.0</v>
      </c>
      <c r="E11" s="1">
        <v>1.0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" t="s">
        <v>20</v>
      </c>
      <c r="B12" s="17">
        <v>45717.0</v>
      </c>
      <c r="C12" s="1">
        <v>1.0</v>
      </c>
      <c r="D12" s="17">
        <v>45717.0</v>
      </c>
      <c r="E12" s="17">
        <v>45717.0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" t="s">
        <v>21</v>
      </c>
      <c r="B13" s="1">
        <v>1.0</v>
      </c>
      <c r="C13" s="1">
        <v>3.0</v>
      </c>
      <c r="D13" s="1">
        <v>1.0</v>
      </c>
      <c r="E13" s="1">
        <v>1.0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" t="s">
        <v>22</v>
      </c>
      <c r="B14" s="1">
        <v>1.0</v>
      </c>
      <c r="C14" s="1">
        <v>3.0</v>
      </c>
      <c r="D14" s="1">
        <v>1.0</v>
      </c>
      <c r="E14" s="1">
        <v>1.0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" t="s">
        <v>57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1" t="s">
        <v>19</v>
      </c>
      <c r="C17" s="1" t="s">
        <v>20</v>
      </c>
      <c r="D17" s="1" t="s">
        <v>21</v>
      </c>
      <c r="E17" s="1" t="s">
        <v>22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" t="s">
        <v>19</v>
      </c>
      <c r="B18" s="23">
        <v>1.0</v>
      </c>
      <c r="C18" s="23">
        <v>3.0</v>
      </c>
      <c r="D18" s="23">
        <v>1.0</v>
      </c>
      <c r="E18" s="23">
        <v>1.0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" t="s">
        <v>20</v>
      </c>
      <c r="B19" s="23">
        <f>1/3</f>
        <v>0.3333333333</v>
      </c>
      <c r="C19" s="23">
        <v>1.0</v>
      </c>
      <c r="D19" s="23">
        <f t="shared" ref="D19:E19" si="1">1/3</f>
        <v>0.3333333333</v>
      </c>
      <c r="E19" s="23">
        <f t="shared" si="1"/>
        <v>0.3333333333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" t="s">
        <v>21</v>
      </c>
      <c r="B20" s="23">
        <v>1.0</v>
      </c>
      <c r="C20" s="23">
        <v>3.0</v>
      </c>
      <c r="D20" s="23">
        <v>1.0</v>
      </c>
      <c r="E20" s="23">
        <v>1.0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" t="s">
        <v>22</v>
      </c>
      <c r="B21" s="23">
        <v>1.0</v>
      </c>
      <c r="C21" s="23">
        <v>3.0</v>
      </c>
      <c r="D21" s="23">
        <v>1.0</v>
      </c>
      <c r="E21" s="23">
        <v>1.0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" t="s">
        <v>47</v>
      </c>
      <c r="B22" s="23">
        <f t="shared" ref="B22:E22" si="2">sum(B18:B21)</f>
        <v>3.333333333</v>
      </c>
      <c r="C22" s="23">
        <f t="shared" si="2"/>
        <v>10</v>
      </c>
      <c r="D22" s="23">
        <f t="shared" si="2"/>
        <v>3.333333333</v>
      </c>
      <c r="E22" s="23">
        <f t="shared" si="2"/>
        <v>3.333333333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" t="s">
        <v>58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4"/>
      <c r="B25" s="4" t="s">
        <v>19</v>
      </c>
      <c r="C25" s="4" t="s">
        <v>20</v>
      </c>
      <c r="D25" s="4" t="s">
        <v>21</v>
      </c>
      <c r="E25" s="4" t="s">
        <v>22</v>
      </c>
      <c r="F25" s="4" t="s">
        <v>47</v>
      </c>
      <c r="G25" s="3" t="s">
        <v>48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4" t="s">
        <v>19</v>
      </c>
      <c r="B26" s="26">
        <f t="shared" ref="B26:B29" si="3">B18/$B$22</f>
        <v>0.3</v>
      </c>
      <c r="C26" s="26">
        <f t="shared" ref="C26:C30" si="4">C18/$C$22</f>
        <v>0.3</v>
      </c>
      <c r="D26" s="26">
        <f t="shared" ref="D26:D29" si="5">D18/$D$22</f>
        <v>0.3</v>
      </c>
      <c r="E26" s="26">
        <f t="shared" ref="E26:E29" si="6">E18/$E$22</f>
        <v>0.3</v>
      </c>
      <c r="F26" s="27">
        <f t="shared" ref="F26:F30" si="7">sum(B26:E26)</f>
        <v>1.2</v>
      </c>
      <c r="G26" s="27">
        <f t="shared" ref="G26:G30" si="8">AVERAGE(B26:E26)</f>
        <v>0.3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4" t="s">
        <v>20</v>
      </c>
      <c r="B27" s="26">
        <f t="shared" si="3"/>
        <v>0.1</v>
      </c>
      <c r="C27" s="26">
        <f t="shared" si="4"/>
        <v>0.1</v>
      </c>
      <c r="D27" s="26">
        <f t="shared" si="5"/>
        <v>0.1</v>
      </c>
      <c r="E27" s="26">
        <f t="shared" si="6"/>
        <v>0.1</v>
      </c>
      <c r="F27" s="27">
        <f t="shared" si="7"/>
        <v>0.4</v>
      </c>
      <c r="G27" s="27">
        <f t="shared" si="8"/>
        <v>0.1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4" t="s">
        <v>21</v>
      </c>
      <c r="B28" s="26">
        <f t="shared" si="3"/>
        <v>0.3</v>
      </c>
      <c r="C28" s="26">
        <f t="shared" si="4"/>
        <v>0.3</v>
      </c>
      <c r="D28" s="26">
        <f t="shared" si="5"/>
        <v>0.3</v>
      </c>
      <c r="E28" s="26">
        <f t="shared" si="6"/>
        <v>0.3</v>
      </c>
      <c r="F28" s="27">
        <f t="shared" si="7"/>
        <v>1.2</v>
      </c>
      <c r="G28" s="27">
        <f t="shared" si="8"/>
        <v>0.3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4" t="s">
        <v>22</v>
      </c>
      <c r="B29" s="26">
        <f t="shared" si="3"/>
        <v>0.3</v>
      </c>
      <c r="C29" s="26">
        <f t="shared" si="4"/>
        <v>0.3</v>
      </c>
      <c r="D29" s="26">
        <f t="shared" si="5"/>
        <v>0.3</v>
      </c>
      <c r="E29" s="26">
        <f t="shared" si="6"/>
        <v>0.3</v>
      </c>
      <c r="F29" s="27">
        <f t="shared" si="7"/>
        <v>1.2</v>
      </c>
      <c r="G29" s="27">
        <f t="shared" si="8"/>
        <v>0.3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4" t="s">
        <v>45</v>
      </c>
      <c r="B30" s="26">
        <f>sum(B26:B29)</f>
        <v>1</v>
      </c>
      <c r="C30" s="26">
        <f t="shared" si="4"/>
        <v>1</v>
      </c>
      <c r="D30" s="26">
        <f t="shared" ref="D30:E30" si="9">sum(D26:D29)</f>
        <v>1</v>
      </c>
      <c r="E30" s="26">
        <f t="shared" si="9"/>
        <v>1</v>
      </c>
      <c r="F30" s="27">
        <f t="shared" si="7"/>
        <v>4</v>
      </c>
      <c r="G30" s="27">
        <f t="shared" si="8"/>
        <v>1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" t="s">
        <v>59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6"/>
      <c r="B33" s="4" t="s">
        <v>19</v>
      </c>
      <c r="C33" s="4" t="s">
        <v>20</v>
      </c>
      <c r="D33" s="4" t="s">
        <v>21</v>
      </c>
      <c r="E33" s="4" t="s">
        <v>22</v>
      </c>
      <c r="F33" s="4" t="s">
        <v>47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6" t="s">
        <v>39</v>
      </c>
      <c r="B34" s="26">
        <v>1.0</v>
      </c>
      <c r="C34" s="26">
        <v>1.0</v>
      </c>
      <c r="D34" s="26">
        <f t="shared" ref="D34:E34" si="10">1/2</f>
        <v>0.5</v>
      </c>
      <c r="E34" s="26">
        <f t="shared" si="10"/>
        <v>0.5</v>
      </c>
      <c r="F34" s="28">
        <f t="shared" ref="F34:F37" si="12">(B34*$G$26)+(C34*$G$27)+(D34*$G$28)+(E34*$G$29)</f>
        <v>0.7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6" t="s">
        <v>40</v>
      </c>
      <c r="B35" s="26">
        <v>1.0</v>
      </c>
      <c r="C35" s="26">
        <v>1.0</v>
      </c>
      <c r="D35" s="26">
        <f t="shared" ref="D35:E35" si="11">1/2</f>
        <v>0.5</v>
      </c>
      <c r="E35" s="26">
        <f t="shared" si="11"/>
        <v>0.5</v>
      </c>
      <c r="F35" s="28">
        <f t="shared" si="12"/>
        <v>0.7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6" t="s">
        <v>41</v>
      </c>
      <c r="B36" s="26">
        <v>2.0</v>
      </c>
      <c r="C36" s="26">
        <v>2.0</v>
      </c>
      <c r="D36" s="26">
        <v>1.0</v>
      </c>
      <c r="E36" s="26">
        <v>1.0</v>
      </c>
      <c r="F36" s="28">
        <f t="shared" si="12"/>
        <v>1.4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6" t="s">
        <v>42</v>
      </c>
      <c r="B37" s="26">
        <v>2.0</v>
      </c>
      <c r="C37" s="26">
        <v>2.0</v>
      </c>
      <c r="D37" s="26">
        <v>1.0</v>
      </c>
      <c r="E37" s="26">
        <v>1.0</v>
      </c>
      <c r="F37" s="28">
        <f t="shared" si="12"/>
        <v>1.4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6" t="s">
        <v>45</v>
      </c>
      <c r="B38" s="26">
        <f t="shared" ref="B38:E38" si="13">sum(B34:B37)</f>
        <v>6</v>
      </c>
      <c r="C38" s="26">
        <f t="shared" si="13"/>
        <v>6</v>
      </c>
      <c r="D38" s="26">
        <f t="shared" si="13"/>
        <v>3</v>
      </c>
      <c r="E38" s="26">
        <f t="shared" si="13"/>
        <v>3</v>
      </c>
      <c r="F38" s="6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 t="s">
        <v>51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 t="s">
        <v>52</v>
      </c>
      <c r="B41" s="25">
        <f>((F34/G26)+(F35/G27)+(F36/G28)+(F37/G29))/4</f>
        <v>4.666666667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 t="s">
        <v>53</v>
      </c>
      <c r="B42" s="25">
        <f>(B41-4)/(4-1)</f>
        <v>0.2222222222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 t="s">
        <v>54</v>
      </c>
      <c r="B43" s="25">
        <f>'MATRIKS PERBANDINGAN'!H17</f>
        <v>0.9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 t="s">
        <v>55</v>
      </c>
      <c r="B44" s="25">
        <f>B42/B43</f>
        <v>0.2469135802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7:D7"/>
    <mergeCell ref="A24:G24"/>
    <mergeCell ref="A32:C32"/>
    <mergeCell ref="A40:C40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9.88"/>
    <col customWidth="1" min="3" max="3" width="9.75"/>
    <col customWidth="1" min="4" max="4" width="10.13"/>
    <col customWidth="1" min="5" max="6" width="9.63"/>
    <col customWidth="1" min="7" max="7" width="12.88"/>
  </cols>
  <sheetData>
    <row r="1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13</v>
      </c>
      <c r="B2" s="4" t="s">
        <v>14</v>
      </c>
      <c r="C2" s="3" t="s">
        <v>15</v>
      </c>
      <c r="D2" s="4" t="s">
        <v>16</v>
      </c>
      <c r="E2" s="3" t="s">
        <v>17</v>
      </c>
      <c r="F2" s="3" t="s">
        <v>18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5" t="s">
        <v>19</v>
      </c>
      <c r="B3" s="6">
        <v>2800000.0</v>
      </c>
      <c r="C3" s="6">
        <v>6000.0</v>
      </c>
      <c r="D3" s="6">
        <v>4.0</v>
      </c>
      <c r="E3" s="6">
        <v>64.0</v>
      </c>
      <c r="F3" s="6">
        <v>48.0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5" t="s">
        <v>20</v>
      </c>
      <c r="B4" s="6">
        <v>2100000.0</v>
      </c>
      <c r="C4" s="6">
        <v>5020.0</v>
      </c>
      <c r="D4" s="6">
        <v>3.0</v>
      </c>
      <c r="E4" s="6">
        <v>64.0</v>
      </c>
      <c r="F4" s="6">
        <v>48.0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5" t="s">
        <v>21</v>
      </c>
      <c r="B5" s="6">
        <v>2200000.0</v>
      </c>
      <c r="C5" s="6">
        <v>5000.0</v>
      </c>
      <c r="D5" s="6">
        <v>4.0</v>
      </c>
      <c r="E5" s="6">
        <v>128.0</v>
      </c>
      <c r="F5" s="6">
        <v>13.0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5" t="s">
        <v>22</v>
      </c>
      <c r="B6" s="6">
        <v>2500000.0</v>
      </c>
      <c r="C6" s="6">
        <v>4230.0</v>
      </c>
      <c r="D6" s="6">
        <v>4.0</v>
      </c>
      <c r="E6" s="6">
        <v>128.0</v>
      </c>
      <c r="F6" s="6">
        <v>12.0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0" t="s">
        <v>34</v>
      </c>
      <c r="B7" s="11"/>
      <c r="C7" s="11"/>
      <c r="D7" s="12"/>
      <c r="E7" s="1"/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" t="s">
        <v>56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1" t="s">
        <v>19</v>
      </c>
      <c r="C10" s="1" t="s">
        <v>20</v>
      </c>
      <c r="D10" s="1" t="s">
        <v>21</v>
      </c>
      <c r="E10" s="1" t="s">
        <v>22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" t="s">
        <v>19</v>
      </c>
      <c r="B11" s="1">
        <v>1.0</v>
      </c>
      <c r="C11" s="1">
        <v>1.0</v>
      </c>
      <c r="D11" s="1">
        <v>3.0</v>
      </c>
      <c r="E11" s="1">
        <v>4.0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" t="s">
        <v>20</v>
      </c>
      <c r="B12" s="1">
        <v>1.0</v>
      </c>
      <c r="C12" s="1">
        <v>1.0</v>
      </c>
      <c r="D12" s="1">
        <v>3.0</v>
      </c>
      <c r="E12" s="1">
        <v>4.0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" t="s">
        <v>21</v>
      </c>
      <c r="B13" s="17">
        <v>45717.0</v>
      </c>
      <c r="C13" s="17">
        <v>45717.0</v>
      </c>
      <c r="D13" s="1">
        <v>1.0</v>
      </c>
      <c r="E13" s="1">
        <v>2.0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" t="s">
        <v>22</v>
      </c>
      <c r="B14" s="17">
        <v>45748.0</v>
      </c>
      <c r="C14" s="17">
        <v>45748.0</v>
      </c>
      <c r="D14" s="17">
        <v>45689.0</v>
      </c>
      <c r="E14" s="1">
        <v>1.0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" t="s">
        <v>57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1" t="s">
        <v>19</v>
      </c>
      <c r="C17" s="1" t="s">
        <v>20</v>
      </c>
      <c r="D17" s="1" t="s">
        <v>21</v>
      </c>
      <c r="E17" s="1" t="s">
        <v>22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" t="s">
        <v>19</v>
      </c>
      <c r="B18" s="23">
        <v>1.0</v>
      </c>
      <c r="C18" s="23">
        <v>1.0</v>
      </c>
      <c r="D18" s="23">
        <v>3.0</v>
      </c>
      <c r="E18" s="23">
        <v>4.0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" t="s">
        <v>20</v>
      </c>
      <c r="B19" s="23">
        <v>1.0</v>
      </c>
      <c r="C19" s="23">
        <v>1.0</v>
      </c>
      <c r="D19" s="23">
        <v>3.0</v>
      </c>
      <c r="E19" s="23">
        <v>4.0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" t="s">
        <v>21</v>
      </c>
      <c r="B20" s="23">
        <f t="shared" ref="B20:C20" si="1">1/3</f>
        <v>0.3333333333</v>
      </c>
      <c r="C20" s="23">
        <f t="shared" si="1"/>
        <v>0.3333333333</v>
      </c>
      <c r="D20" s="23">
        <v>1.0</v>
      </c>
      <c r="E20" s="23">
        <v>2.0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" t="s">
        <v>22</v>
      </c>
      <c r="B21" s="23">
        <f t="shared" ref="B21:C21" si="2">1/4</f>
        <v>0.25</v>
      </c>
      <c r="C21" s="23">
        <f t="shared" si="2"/>
        <v>0.25</v>
      </c>
      <c r="D21" s="23">
        <f>1/2</f>
        <v>0.5</v>
      </c>
      <c r="E21" s="23">
        <v>1.0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" t="s">
        <v>47</v>
      </c>
      <c r="B22" s="23">
        <f t="shared" ref="B22:E22" si="3">sum(B18:B21)</f>
        <v>2.583333333</v>
      </c>
      <c r="C22" s="23">
        <f t="shared" si="3"/>
        <v>2.583333333</v>
      </c>
      <c r="D22" s="23">
        <f t="shared" si="3"/>
        <v>7.5</v>
      </c>
      <c r="E22" s="23">
        <f t="shared" si="3"/>
        <v>11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" t="s">
        <v>58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4"/>
      <c r="B25" s="4" t="s">
        <v>19</v>
      </c>
      <c r="C25" s="4" t="s">
        <v>20</v>
      </c>
      <c r="D25" s="4" t="s">
        <v>21</v>
      </c>
      <c r="E25" s="4" t="s">
        <v>22</v>
      </c>
      <c r="F25" s="4" t="s">
        <v>47</v>
      </c>
      <c r="G25" s="3" t="s">
        <v>48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4" t="s">
        <v>19</v>
      </c>
      <c r="B26" s="26">
        <f t="shared" ref="B26:B29" si="4">B18/$B$22</f>
        <v>0.3870967742</v>
      </c>
      <c r="C26" s="26">
        <f t="shared" ref="C26:C28" si="5">C18/$C$22</f>
        <v>0.3870967742</v>
      </c>
      <c r="D26" s="26">
        <f t="shared" ref="D26:D29" si="6">D18/$D$22</f>
        <v>0.4</v>
      </c>
      <c r="E26" s="26">
        <f t="shared" ref="E26:E29" si="7">E18/$E$22</f>
        <v>0.3636363636</v>
      </c>
      <c r="F26" s="27">
        <f t="shared" ref="F26:F30" si="8">sum(B26:E26)</f>
        <v>1.537829912</v>
      </c>
      <c r="G26" s="27">
        <f t="shared" ref="G26:G30" si="9">AVERAGE(B26:E26)</f>
        <v>0.384457478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4" t="s">
        <v>20</v>
      </c>
      <c r="B27" s="26">
        <f t="shared" si="4"/>
        <v>0.3870967742</v>
      </c>
      <c r="C27" s="26">
        <f t="shared" si="5"/>
        <v>0.3870967742</v>
      </c>
      <c r="D27" s="26">
        <f t="shared" si="6"/>
        <v>0.4</v>
      </c>
      <c r="E27" s="26">
        <f t="shared" si="7"/>
        <v>0.3636363636</v>
      </c>
      <c r="F27" s="27">
        <f t="shared" si="8"/>
        <v>1.537829912</v>
      </c>
      <c r="G27" s="27">
        <f t="shared" si="9"/>
        <v>0.384457478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4" t="s">
        <v>21</v>
      </c>
      <c r="B28" s="26">
        <f t="shared" si="4"/>
        <v>0.1290322581</v>
      </c>
      <c r="C28" s="26">
        <f t="shared" si="5"/>
        <v>0.1290322581</v>
      </c>
      <c r="D28" s="26">
        <f t="shared" si="6"/>
        <v>0.1333333333</v>
      </c>
      <c r="E28" s="26">
        <f t="shared" si="7"/>
        <v>0.1818181818</v>
      </c>
      <c r="F28" s="27">
        <f t="shared" si="8"/>
        <v>0.5732160313</v>
      </c>
      <c r="G28" s="27">
        <f t="shared" si="9"/>
        <v>0.1433040078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4" t="s">
        <v>22</v>
      </c>
      <c r="B29" s="26">
        <f t="shared" si="4"/>
        <v>0.09677419355</v>
      </c>
      <c r="C29" s="26">
        <f>C21/C22</f>
        <v>0.09677419355</v>
      </c>
      <c r="D29" s="26">
        <f t="shared" si="6"/>
        <v>0.06666666667</v>
      </c>
      <c r="E29" s="26">
        <f t="shared" si="7"/>
        <v>0.09090909091</v>
      </c>
      <c r="F29" s="27">
        <f t="shared" si="8"/>
        <v>0.3511241447</v>
      </c>
      <c r="G29" s="27">
        <f t="shared" si="9"/>
        <v>0.08778103617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4" t="s">
        <v>45</v>
      </c>
      <c r="B30" s="26">
        <f t="shared" ref="B30:E30" si="10">sum(B26:B29)</f>
        <v>1</v>
      </c>
      <c r="C30" s="26">
        <f t="shared" si="10"/>
        <v>1</v>
      </c>
      <c r="D30" s="26">
        <f t="shared" si="10"/>
        <v>1</v>
      </c>
      <c r="E30" s="26">
        <f t="shared" si="10"/>
        <v>1</v>
      </c>
      <c r="F30" s="27">
        <f t="shared" si="8"/>
        <v>4</v>
      </c>
      <c r="G30" s="27">
        <f t="shared" si="9"/>
        <v>1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" t="s">
        <v>59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6"/>
      <c r="B33" s="4" t="s">
        <v>19</v>
      </c>
      <c r="C33" s="4" t="s">
        <v>20</v>
      </c>
      <c r="D33" s="4" t="s">
        <v>21</v>
      </c>
      <c r="E33" s="4" t="s">
        <v>22</v>
      </c>
      <c r="F33" s="4" t="s">
        <v>47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6" t="s">
        <v>39</v>
      </c>
      <c r="B34" s="23">
        <v>1.0</v>
      </c>
      <c r="C34" s="23">
        <v>1.0</v>
      </c>
      <c r="D34" s="23">
        <v>3.0</v>
      </c>
      <c r="E34" s="23">
        <v>4.0</v>
      </c>
      <c r="F34" s="28">
        <f t="shared" ref="F34:F37" si="11">(B34*$G$26)+(C34*$G$27)+(D34*$G$28)+(E34*$G$29)</f>
        <v>1.549951124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6" t="s">
        <v>40</v>
      </c>
      <c r="B35" s="23">
        <v>1.0</v>
      </c>
      <c r="C35" s="23">
        <v>1.0</v>
      </c>
      <c r="D35" s="23">
        <v>3.0</v>
      </c>
      <c r="E35" s="23">
        <v>4.0</v>
      </c>
      <c r="F35" s="28">
        <f t="shared" si="11"/>
        <v>1.549951124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6" t="s">
        <v>41</v>
      </c>
      <c r="B36" s="23">
        <f t="shared" ref="B36:C36" si="12">1/3</f>
        <v>0.3333333333</v>
      </c>
      <c r="C36" s="23">
        <f t="shared" si="12"/>
        <v>0.3333333333</v>
      </c>
      <c r="D36" s="23">
        <v>1.0</v>
      </c>
      <c r="E36" s="23">
        <v>2.0</v>
      </c>
      <c r="F36" s="28">
        <f t="shared" si="11"/>
        <v>0.5751710655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6" t="s">
        <v>42</v>
      </c>
      <c r="B37" s="23">
        <f t="shared" ref="B37:C37" si="13">1/4</f>
        <v>0.25</v>
      </c>
      <c r="C37" s="23">
        <f t="shared" si="13"/>
        <v>0.25</v>
      </c>
      <c r="D37" s="23">
        <f>1/2</f>
        <v>0.5</v>
      </c>
      <c r="E37" s="23">
        <v>1.0</v>
      </c>
      <c r="F37" s="28">
        <f t="shared" si="11"/>
        <v>0.3516617791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6" t="s">
        <v>45</v>
      </c>
      <c r="B38" s="26">
        <f t="shared" ref="B38:E38" si="14">sum(B34:B37)</f>
        <v>2.583333333</v>
      </c>
      <c r="C38" s="26">
        <f t="shared" si="14"/>
        <v>2.583333333</v>
      </c>
      <c r="D38" s="26">
        <f t="shared" si="14"/>
        <v>7.5</v>
      </c>
      <c r="E38" s="26">
        <f t="shared" si="14"/>
        <v>11</v>
      </c>
      <c r="F38" s="6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 t="s">
        <v>51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 t="s">
        <v>52</v>
      </c>
      <c r="B41" s="25">
        <f>((F34/G26)+(F35/G27)+(F36/G28)+(F37/G29))/4</f>
        <v>4.020705869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 t="s">
        <v>53</v>
      </c>
      <c r="B42" s="25">
        <f>(B41-4)/(4-1)</f>
        <v>0.006901956467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 t="s">
        <v>54</v>
      </c>
      <c r="B43" s="25">
        <f>'MATRIKS PERBANDINGAN'!H17</f>
        <v>0.9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 t="s">
        <v>55</v>
      </c>
      <c r="B44" s="25">
        <f>B42/B43</f>
        <v>0.007668840519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7:D7"/>
    <mergeCell ref="A24:G24"/>
    <mergeCell ref="A32:C32"/>
    <mergeCell ref="A40:C40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9.88"/>
    <col customWidth="1" min="3" max="3" width="9.75"/>
    <col customWidth="1" min="4" max="4" width="10.13"/>
    <col customWidth="1" min="5" max="6" width="9.63"/>
    <col customWidth="1" min="7" max="7" width="12.88"/>
  </cols>
  <sheetData>
    <row r="1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13</v>
      </c>
      <c r="B2" s="4" t="s">
        <v>14</v>
      </c>
      <c r="C2" s="3" t="s">
        <v>15</v>
      </c>
      <c r="D2" s="4" t="s">
        <v>16</v>
      </c>
      <c r="E2" s="3" t="s">
        <v>17</v>
      </c>
      <c r="F2" s="3" t="s">
        <v>18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5" t="s">
        <v>19</v>
      </c>
      <c r="B3" s="6">
        <v>2800000.0</v>
      </c>
      <c r="C3" s="6">
        <v>6000.0</v>
      </c>
      <c r="D3" s="6">
        <v>4.0</v>
      </c>
      <c r="E3" s="6">
        <v>64.0</v>
      </c>
      <c r="F3" s="6">
        <v>48.0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5" t="s">
        <v>20</v>
      </c>
      <c r="B4" s="6">
        <v>2100000.0</v>
      </c>
      <c r="C4" s="6">
        <v>5020.0</v>
      </c>
      <c r="D4" s="6">
        <v>3.0</v>
      </c>
      <c r="E4" s="6">
        <v>64.0</v>
      </c>
      <c r="F4" s="6">
        <v>48.0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5" t="s">
        <v>21</v>
      </c>
      <c r="B5" s="6">
        <v>2200000.0</v>
      </c>
      <c r="C5" s="6">
        <v>5000.0</v>
      </c>
      <c r="D5" s="6">
        <v>4.0</v>
      </c>
      <c r="E5" s="6">
        <v>128.0</v>
      </c>
      <c r="F5" s="6">
        <v>13.0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5" t="s">
        <v>22</v>
      </c>
      <c r="B6" s="6">
        <v>2500000.0</v>
      </c>
      <c r="C6" s="6">
        <v>4230.0</v>
      </c>
      <c r="D6" s="6">
        <v>4.0</v>
      </c>
      <c r="E6" s="6">
        <v>128.0</v>
      </c>
      <c r="F6" s="6">
        <v>12.0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0" t="s">
        <v>34</v>
      </c>
      <c r="B7" s="11"/>
      <c r="C7" s="11"/>
      <c r="D7" s="12"/>
      <c r="E7" s="1"/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" t="s">
        <v>56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1" t="s">
        <v>19</v>
      </c>
      <c r="C10" s="1" t="s">
        <v>20</v>
      </c>
      <c r="D10" s="1" t="s">
        <v>21</v>
      </c>
      <c r="E10" s="1" t="s">
        <v>22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" t="s">
        <v>19</v>
      </c>
      <c r="B11" s="23">
        <v>1.0</v>
      </c>
      <c r="C11" s="23">
        <v>3.0</v>
      </c>
      <c r="D11" s="23">
        <v>5.0</v>
      </c>
      <c r="E11" s="23">
        <v>7.0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" t="s">
        <v>20</v>
      </c>
      <c r="B12" s="17">
        <v>45717.0</v>
      </c>
      <c r="C12" s="23">
        <v>1.0</v>
      </c>
      <c r="D12" s="23">
        <v>3.0</v>
      </c>
      <c r="E12" s="23">
        <v>5.0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" t="s">
        <v>21</v>
      </c>
      <c r="B13" s="17">
        <v>45778.0</v>
      </c>
      <c r="C13" s="17">
        <v>45717.0</v>
      </c>
      <c r="D13" s="23">
        <v>1.0</v>
      </c>
      <c r="E13" s="23">
        <v>3.0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" t="s">
        <v>22</v>
      </c>
      <c r="B14" s="17">
        <v>45839.0</v>
      </c>
      <c r="C14" s="17">
        <v>45778.0</v>
      </c>
      <c r="D14" s="17">
        <v>45717.0</v>
      </c>
      <c r="E14" s="23">
        <v>1.0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" t="s">
        <v>57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1" t="s">
        <v>19</v>
      </c>
      <c r="C17" s="1" t="s">
        <v>20</v>
      </c>
      <c r="D17" s="1" t="s">
        <v>21</v>
      </c>
      <c r="E17" s="1" t="s">
        <v>22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" t="s">
        <v>19</v>
      </c>
      <c r="B18" s="23">
        <v>1.0</v>
      </c>
      <c r="C18" s="23">
        <v>3.0</v>
      </c>
      <c r="D18" s="23">
        <v>5.0</v>
      </c>
      <c r="E18" s="23">
        <v>7.0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" t="s">
        <v>20</v>
      </c>
      <c r="B19" s="23">
        <f>1/3</f>
        <v>0.3333333333</v>
      </c>
      <c r="C19" s="23">
        <v>1.0</v>
      </c>
      <c r="D19" s="23">
        <v>3.0</v>
      </c>
      <c r="E19" s="23">
        <v>5.0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" t="s">
        <v>21</v>
      </c>
      <c r="B20" s="23">
        <f>1/5</f>
        <v>0.2</v>
      </c>
      <c r="C20" s="23">
        <f>1/3</f>
        <v>0.3333333333</v>
      </c>
      <c r="D20" s="23">
        <v>1.0</v>
      </c>
      <c r="E20" s="23">
        <v>3.0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" t="s">
        <v>22</v>
      </c>
      <c r="B21" s="23">
        <f>1/7</f>
        <v>0.1428571429</v>
      </c>
      <c r="C21" s="23">
        <f>1/5</f>
        <v>0.2</v>
      </c>
      <c r="D21" s="23">
        <f>1/3</f>
        <v>0.3333333333</v>
      </c>
      <c r="E21" s="23">
        <v>1.0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" t="s">
        <v>47</v>
      </c>
      <c r="B22" s="23">
        <f t="shared" ref="B22:E22" si="1">sum(B18:B21)</f>
        <v>1.676190476</v>
      </c>
      <c r="C22" s="23">
        <f t="shared" si="1"/>
        <v>4.533333333</v>
      </c>
      <c r="D22" s="23">
        <f t="shared" si="1"/>
        <v>9.333333333</v>
      </c>
      <c r="E22" s="23">
        <f t="shared" si="1"/>
        <v>16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" t="s">
        <v>58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4"/>
      <c r="B25" s="4" t="s">
        <v>19</v>
      </c>
      <c r="C25" s="4" t="s">
        <v>20</v>
      </c>
      <c r="D25" s="4" t="s">
        <v>21</v>
      </c>
      <c r="E25" s="4" t="s">
        <v>22</v>
      </c>
      <c r="F25" s="4" t="s">
        <v>47</v>
      </c>
      <c r="G25" s="3" t="s">
        <v>48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4" t="s">
        <v>19</v>
      </c>
      <c r="B26" s="26">
        <f t="shared" ref="B26:B29" si="2">B18/$B$22</f>
        <v>0.5965909091</v>
      </c>
      <c r="C26" s="26">
        <f t="shared" ref="C26:C28" si="3">C18/$C$22</f>
        <v>0.6617647059</v>
      </c>
      <c r="D26" s="26">
        <f t="shared" ref="D26:D29" si="4">D18/$D$22</f>
        <v>0.5357142857</v>
      </c>
      <c r="E26" s="26">
        <f t="shared" ref="E26:E29" si="5">E18/$E$22</f>
        <v>0.4375</v>
      </c>
      <c r="F26" s="27">
        <f t="shared" ref="F26:F30" si="6">sum(B26:E26)</f>
        <v>2.231569901</v>
      </c>
      <c r="G26" s="20">
        <f t="shared" ref="G26:G30" si="7">AVERAGE(B26:E26)</f>
        <v>0.5578924752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4" t="s">
        <v>20</v>
      </c>
      <c r="B27" s="26">
        <f t="shared" si="2"/>
        <v>0.1988636364</v>
      </c>
      <c r="C27" s="26">
        <f t="shared" si="3"/>
        <v>0.2205882353</v>
      </c>
      <c r="D27" s="26">
        <f t="shared" si="4"/>
        <v>0.3214285714</v>
      </c>
      <c r="E27" s="26">
        <f t="shared" si="5"/>
        <v>0.3125</v>
      </c>
      <c r="F27" s="27">
        <f t="shared" si="6"/>
        <v>1.053380443</v>
      </c>
      <c r="G27" s="20">
        <f t="shared" si="7"/>
        <v>0.2633451108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4" t="s">
        <v>21</v>
      </c>
      <c r="B28" s="26">
        <f t="shared" si="2"/>
        <v>0.1193181818</v>
      </c>
      <c r="C28" s="26">
        <f t="shared" si="3"/>
        <v>0.07352941176</v>
      </c>
      <c r="D28" s="26">
        <f t="shared" si="4"/>
        <v>0.1071428571</v>
      </c>
      <c r="E28" s="26">
        <f t="shared" si="5"/>
        <v>0.1875</v>
      </c>
      <c r="F28" s="27">
        <f t="shared" si="6"/>
        <v>0.4874904507</v>
      </c>
      <c r="G28" s="20">
        <f t="shared" si="7"/>
        <v>0.1218726127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4" t="s">
        <v>22</v>
      </c>
      <c r="B29" s="26">
        <f t="shared" si="2"/>
        <v>0.08522727273</v>
      </c>
      <c r="C29" s="26">
        <f>C21/C22</f>
        <v>0.04411764706</v>
      </c>
      <c r="D29" s="26">
        <f t="shared" si="4"/>
        <v>0.03571428571</v>
      </c>
      <c r="E29" s="26">
        <f t="shared" si="5"/>
        <v>0.0625</v>
      </c>
      <c r="F29" s="27">
        <f t="shared" si="6"/>
        <v>0.2275592055</v>
      </c>
      <c r="G29" s="20">
        <f t="shared" si="7"/>
        <v>0.05688980138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4" t="s">
        <v>45</v>
      </c>
      <c r="B30" s="26">
        <f t="shared" ref="B30:E30" si="8">sum(B26:B29)</f>
        <v>1</v>
      </c>
      <c r="C30" s="26">
        <f t="shared" si="8"/>
        <v>1</v>
      </c>
      <c r="D30" s="26">
        <f t="shared" si="8"/>
        <v>1</v>
      </c>
      <c r="E30" s="26">
        <f t="shared" si="8"/>
        <v>1</v>
      </c>
      <c r="F30" s="27">
        <f t="shared" si="6"/>
        <v>4</v>
      </c>
      <c r="G30" s="20">
        <f t="shared" si="7"/>
        <v>1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" t="s">
        <v>59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6"/>
      <c r="B33" s="4" t="s">
        <v>19</v>
      </c>
      <c r="C33" s="4" t="s">
        <v>20</v>
      </c>
      <c r="D33" s="4" t="s">
        <v>21</v>
      </c>
      <c r="E33" s="4" t="s">
        <v>22</v>
      </c>
      <c r="F33" s="4" t="s">
        <v>47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6" t="s">
        <v>39</v>
      </c>
      <c r="B34" s="23">
        <v>1.0</v>
      </c>
      <c r="C34" s="23">
        <v>3.0</v>
      </c>
      <c r="D34" s="23">
        <v>5.0</v>
      </c>
      <c r="E34" s="23">
        <v>7.0</v>
      </c>
      <c r="F34" s="28">
        <f t="shared" ref="F34:F37" si="9">(B34*$G$26)+(C34*$G$27)+(D34*$G$28)+(E34*$G$29)</f>
        <v>2.355519481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6" t="s">
        <v>40</v>
      </c>
      <c r="B35" s="23">
        <f>1/3</f>
        <v>0.3333333333</v>
      </c>
      <c r="C35" s="23">
        <v>1.0</v>
      </c>
      <c r="D35" s="23">
        <v>3.0</v>
      </c>
      <c r="E35" s="23">
        <v>5.0</v>
      </c>
      <c r="F35" s="28">
        <f t="shared" si="9"/>
        <v>1.099376114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6" t="s">
        <v>41</v>
      </c>
      <c r="B36" s="23">
        <f>1/5</f>
        <v>0.2</v>
      </c>
      <c r="C36" s="23">
        <f>1/3</f>
        <v>0.3333333333</v>
      </c>
      <c r="D36" s="23">
        <v>1.0</v>
      </c>
      <c r="E36" s="23">
        <v>3.0</v>
      </c>
      <c r="F36" s="28">
        <f t="shared" si="9"/>
        <v>0.4919022154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6" t="s">
        <v>42</v>
      </c>
      <c r="B37" s="23">
        <f>1/7</f>
        <v>0.1428571429</v>
      </c>
      <c r="C37" s="23">
        <f>1/5</f>
        <v>0.2</v>
      </c>
      <c r="D37" s="23">
        <f>1/3</f>
        <v>0.3333333333</v>
      </c>
      <c r="E37" s="23">
        <v>1.0</v>
      </c>
      <c r="F37" s="28">
        <f t="shared" si="9"/>
        <v>0.2298819528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6" t="s">
        <v>45</v>
      </c>
      <c r="B38" s="26">
        <f t="shared" ref="B38:E38" si="10">sum(B34:B37)</f>
        <v>1.676190476</v>
      </c>
      <c r="C38" s="26">
        <f t="shared" si="10"/>
        <v>4.533333333</v>
      </c>
      <c r="D38" s="26">
        <f t="shared" si="10"/>
        <v>9.333333333</v>
      </c>
      <c r="E38" s="26">
        <f t="shared" si="10"/>
        <v>16</v>
      </c>
      <c r="F38" s="6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 t="s">
        <v>51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 t="s">
        <v>52</v>
      </c>
      <c r="B41" s="25">
        <f>((F34/G26)+(F35/G27)+(F36/G28)+(F37/G29))/4</f>
        <v>4.118465665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 t="s">
        <v>53</v>
      </c>
      <c r="B42" s="25">
        <f>(B41-4)/(4-1)</f>
        <v>0.03948855505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 t="s">
        <v>54</v>
      </c>
      <c r="B43" s="25">
        <f>'MATRIKS PERBANDINGAN'!H17</f>
        <v>0.9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 t="s">
        <v>55</v>
      </c>
      <c r="B44" s="25">
        <f>B42/B43</f>
        <v>0.04387617228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7:D7"/>
    <mergeCell ref="A24:G24"/>
    <mergeCell ref="A32:C32"/>
    <mergeCell ref="A40:C40"/>
  </mergeCell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9.88"/>
    <col customWidth="1" min="3" max="3" width="9.75"/>
    <col customWidth="1" min="4" max="4" width="10.13"/>
    <col customWidth="1" min="5" max="6" width="9.63"/>
    <col customWidth="1" min="7" max="7" width="12.88"/>
    <col customWidth="1" min="8" max="8" width="13.5"/>
  </cols>
  <sheetData>
    <row r="1" ht="15.75" customHeight="1"/>
    <row r="2" ht="15.75" customHeight="1">
      <c r="A2" s="3" t="s">
        <v>13</v>
      </c>
      <c r="B2" s="4" t="s">
        <v>14</v>
      </c>
      <c r="C2" s="3" t="s">
        <v>60</v>
      </c>
      <c r="D2" s="4" t="s">
        <v>16</v>
      </c>
      <c r="E2" s="3" t="s">
        <v>27</v>
      </c>
      <c r="F2" s="3" t="s">
        <v>24</v>
      </c>
      <c r="G2" s="29" t="s">
        <v>61</v>
      </c>
      <c r="H2" s="5" t="s">
        <v>62</v>
      </c>
      <c r="I2" s="30" t="s">
        <v>63</v>
      </c>
    </row>
    <row r="3" ht="15.75" customHeight="1">
      <c r="A3" s="5" t="s">
        <v>19</v>
      </c>
      <c r="B3" s="31">
        <f>HARGA!G26</f>
        <v>0.05604656978</v>
      </c>
      <c r="C3" s="31">
        <f>MEMORY!G26</f>
        <v>0.1666666667</v>
      </c>
      <c r="D3" s="31">
        <f>RAM!G26</f>
        <v>0.3</v>
      </c>
      <c r="E3" s="31">
        <f>KAMERA!G26</f>
        <v>0.384457478</v>
      </c>
      <c r="F3" s="31">
        <f>BATERAI!G26</f>
        <v>0.5578924752</v>
      </c>
      <c r="G3" s="32">
        <f>'KRITERIA UTAMA'!H27</f>
        <v>0.4961755486</v>
      </c>
      <c r="H3" s="5">
        <f t="shared" ref="H3:H7" si="1">(B3*$G$3)+(C3*$G$4)+(D3*$G$5)+(E3*$G$6)+(F3*$G$7)</f>
        <v>0.2360365443</v>
      </c>
      <c r="I3" s="30">
        <v>3.0</v>
      </c>
    </row>
    <row r="4" ht="15.75" customHeight="1">
      <c r="A4" s="5" t="s">
        <v>20</v>
      </c>
      <c r="B4" s="31">
        <f>HARGA!G27</f>
        <v>0.4745770707</v>
      </c>
      <c r="C4" s="31">
        <f>MEMORY!G27</f>
        <v>0.1458333333</v>
      </c>
      <c r="D4" s="31">
        <f>RAM!G27</f>
        <v>0.1</v>
      </c>
      <c r="E4" s="31">
        <f>KAMERA!G27</f>
        <v>0.384457478</v>
      </c>
      <c r="F4" s="31">
        <f>BATERAI!G27</f>
        <v>0.2633451108</v>
      </c>
      <c r="G4" s="32">
        <f>'KRITERIA UTAMA'!H28</f>
        <v>0.08856844305</v>
      </c>
      <c r="H4" s="5">
        <f t="shared" si="1"/>
        <v>0.3540049209</v>
      </c>
      <c r="I4" s="30">
        <v>1.0</v>
      </c>
    </row>
    <row r="5" ht="15.75" customHeight="1">
      <c r="A5" s="5" t="s">
        <v>21</v>
      </c>
      <c r="B5" s="31">
        <f>HARGA!G28</f>
        <v>0.3251896049</v>
      </c>
      <c r="C5" s="31">
        <f>MEMORY!G28</f>
        <v>0.2916666667</v>
      </c>
      <c r="D5" s="31">
        <f>RAM!G28</f>
        <v>0.3</v>
      </c>
      <c r="E5" s="31">
        <f>KAMERA!G28</f>
        <v>0.1433040078</v>
      </c>
      <c r="F5" s="31">
        <f>BATERAI!G28</f>
        <v>0.1218726127</v>
      </c>
      <c r="G5" s="32">
        <f>'KRITERIA UTAMA'!H29</f>
        <v>0.08856844305</v>
      </c>
      <c r="H5" s="5">
        <f t="shared" si="1"/>
        <v>0.2554665385</v>
      </c>
      <c r="I5" s="30">
        <v>2.0</v>
      </c>
    </row>
    <row r="6" ht="15.75" customHeight="1">
      <c r="A6" s="5" t="s">
        <v>22</v>
      </c>
      <c r="B6" s="31">
        <f>HARGA!G29</f>
        <v>0.1441867547</v>
      </c>
      <c r="C6" s="31">
        <f>MEMORY!G29</f>
        <v>0.2916666667</v>
      </c>
      <c r="D6" s="31">
        <f>RAM!G29</f>
        <v>0.3</v>
      </c>
      <c r="E6" s="31">
        <f>KAMERA!G29</f>
        <v>0.08778103617</v>
      </c>
      <c r="F6" s="31">
        <f>BATERAI!G29</f>
        <v>0.05688980138</v>
      </c>
      <c r="G6" s="32">
        <f>'KRITERIA UTAMA'!H30</f>
        <v>0.08856844305</v>
      </c>
      <c r="H6" s="5">
        <f t="shared" si="1"/>
        <v>0.1452661168</v>
      </c>
      <c r="I6" s="30">
        <v>4.0</v>
      </c>
    </row>
    <row r="7" ht="15.75" customHeight="1">
      <c r="A7" s="10" t="s">
        <v>34</v>
      </c>
      <c r="B7" s="11"/>
      <c r="C7" s="11"/>
      <c r="D7" s="12"/>
      <c r="E7" s="5"/>
      <c r="F7" s="5"/>
      <c r="G7" s="32">
        <f>'KRITERIA UTAMA'!H31</f>
        <v>0.2381191223</v>
      </c>
      <c r="H7" s="5">
        <f t="shared" si="1"/>
        <v>0</v>
      </c>
    </row>
    <row r="8" ht="15.75" customHeight="1">
      <c r="D8" s="1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7:D7"/>
  </mergeCells>
  <drawing r:id="rId1"/>
</worksheet>
</file>