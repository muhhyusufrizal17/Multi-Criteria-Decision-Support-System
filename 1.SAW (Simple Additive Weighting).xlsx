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view" sheetId="1" r:id="rId4"/>
    <sheet state="visible" name="Data" sheetId="2" r:id="rId5"/>
    <sheet state="visible" name="Normalisasi data" sheetId="3" r:id="rId6"/>
    <sheet state="visible" name="Hasil" sheetId="4" r:id="rId7"/>
  </sheets>
  <definedNames/>
  <calcPr/>
  <extLst>
    <ext uri="GoogleSheetsCustomDataVersion2">
      <go:sheetsCustomData xmlns:go="http://customooxmlschemas.google.com/" r:id="rId8" roundtripDataChecksum="3/77I540sKCrtL47AhHEy4fKywiNptS21lgWDe2oBD0="/>
    </ext>
  </extLst>
</workbook>
</file>

<file path=xl/sharedStrings.xml><?xml version="1.0" encoding="utf-8"?>
<sst xmlns="http://schemas.openxmlformats.org/spreadsheetml/2006/main" count="37" uniqueCount="24">
  <si>
    <t>Proyek ini merupakan implementasi Sistem Pendukung Keputusan (SPK) menggunakan metode Simple Additive Weighting (SAW) untuk membantu proses pemilihan kandidat terbaik berdasarkan beberapa kriteria terukur.</t>
  </si>
  <si>
    <t>Pendekatan ini menekankan transparansi perhitungan dan kemudahan interpretasi hasil, sehingga dapat digunakan sebagai alat bantu pengambilan keputusan yang objektif.</t>
  </si>
  <si>
    <t>4 Kriteria</t>
  </si>
  <si>
    <t>C1 = Test pengetahuan sistem informasi</t>
  </si>
  <si>
    <t>C2 = Praktek Instalasi Jaringan</t>
  </si>
  <si>
    <t>C3 = Test kepribadian</t>
  </si>
  <si>
    <t>C4 = Test tentang keagamaan</t>
  </si>
  <si>
    <t>Metode Simple Additive Weighting (SAW) bekerja dengan mengubah penilaian kualitatif menjadi kuantitatif. Dimulai dengan menentukan kriteria yang relevan beserta bobotnya sesuai tingkatannya. Selanjutnya, nilai setiap alternatif pada tiap kriteria disamaratakan dengan tahap normalisasi. Hasil tersebut dikalikan dengan bobot kriteria untuk mencerminkan prioritas dalam pengambilan keputusan. Terakhir, seluruh nilai yang telah dibobotkan dijumlah untuk memperoleh hasil akhir setiap alternatif. Alternatif dengan nilai tertinggi dianggap sebagai pilihan terbaik sesuai dengan kriteria.</t>
  </si>
  <si>
    <t>Alternatif</t>
  </si>
  <si>
    <t>Kriteria</t>
  </si>
  <si>
    <t>C1</t>
  </si>
  <si>
    <t>C2</t>
  </si>
  <si>
    <t>C3</t>
  </si>
  <si>
    <t>C4</t>
  </si>
  <si>
    <t>Indra</t>
  </si>
  <si>
    <t>Roni</t>
  </si>
  <si>
    <t>Putri</t>
  </si>
  <si>
    <t>Dani</t>
  </si>
  <si>
    <t>Ratna</t>
  </si>
  <si>
    <t>Mira</t>
  </si>
  <si>
    <t>MAX</t>
  </si>
  <si>
    <t>Normalisasi</t>
  </si>
  <si>
    <t>Pembobotan</t>
  </si>
  <si>
    <t>Ranking</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</si>
</sst>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Lexend"/>
    </font>
    <font>
      <sz val="11.0"/>
      <color theme="1"/>
      <name val="Lexend"/>
    </font>
    <font/>
  </fonts>
  <fills count="2">
    <fill>
      <patternFill patternType="none"/>
    </fill>
    <fill>
      <patternFill patternType="lightGray"/>
    </fill>
  </fills>
  <borders count="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Font="1"/>
    <xf borderId="1" fillId="0" fontId="2" numFmtId="0" xfId="0" applyBorder="1" applyFont="1"/>
    <xf borderId="2" fillId="0" fontId="3" numFmtId="0" xfId="0" applyBorder="1" applyFont="1"/>
    <xf borderId="3" fillId="0" fontId="3" numFmtId="0" xfId="0" applyBorder="1" applyFont="1"/>
    <xf borderId="4" fillId="0" fontId="2" numFmtId="0" xfId="0" applyAlignment="1" applyBorder="1" applyFont="1">
      <alignment horizontal="center" vertical="center"/>
    </xf>
    <xf borderId="1" fillId="0" fontId="2" numFmtId="0" xfId="0" applyAlignment="1" applyBorder="1" applyFont="1">
      <alignment horizontal="center" vertical="center"/>
    </xf>
    <xf borderId="5" fillId="0" fontId="3" numFmtId="0" xfId="0" applyBorder="1" applyFont="1"/>
    <xf borderId="6" fillId="0" fontId="2" numFmtId="0" xfId="0" applyAlignment="1" applyBorder="1" applyFont="1">
      <alignment horizontal="center" vertical="center"/>
    </xf>
    <xf borderId="7" fillId="0" fontId="3" numFmtId="0" xfId="0" applyBorder="1" applyFont="1"/>
    <xf borderId="6" fillId="0" fontId="2" numFmtId="9" xfId="0" applyAlignment="1" applyBorder="1" applyFont="1" applyNumberFormat="1">
      <alignment horizontal="center" vertical="center"/>
    </xf>
    <xf borderId="6" fillId="0" fontId="2" numFmtId="0" xfId="0" applyBorder="1" applyFont="1"/>
    <xf borderId="6" fillId="0" fontId="2" numFmtId="0" xfId="0" applyAlignment="1" applyBorder="1" applyFont="1">
      <alignment horizontal="center"/>
    </xf>
    <xf borderId="0" fillId="0" fontId="1" numFmtId="0" xfId="0" applyFont="1"/>
    <xf borderId="1" fillId="0" fontId="2" numFmtId="0" xfId="0" applyAlignment="1" applyBorder="1" applyFont="1">
      <alignment horizontal="center"/>
    </xf>
    <xf borderId="6" fillId="0" fontId="2" numFmtId="2" xfId="0" applyBorder="1" applyFont="1" applyNumberFormat="1"/>
    <xf borderId="6" fillId="0" fontId="1"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5" width="12.63"/>
    <col customWidth="1" min="6" max="6" width="1.88"/>
  </cols>
  <sheetData>
    <row r="1" ht="15.75" customHeight="1">
      <c r="A1" s="1" t="s">
        <v>0</v>
      </c>
    </row>
    <row r="2" ht="15.75" customHeight="1">
      <c r="A2" s="1" t="s">
        <v>1</v>
      </c>
    </row>
    <row r="3" ht="15.75" customHeight="1">
      <c r="A3" s="2"/>
      <c r="B3" s="2"/>
      <c r="C3" s="2"/>
      <c r="D3" s="2"/>
      <c r="E3" s="2"/>
    </row>
    <row r="4" ht="15.75" customHeight="1">
      <c r="A4" s="3" t="s">
        <v>2</v>
      </c>
      <c r="B4" s="4"/>
      <c r="C4" s="5"/>
      <c r="D4" s="2"/>
      <c r="E4" s="2"/>
    </row>
    <row r="5" ht="15.75" customHeight="1">
      <c r="A5" s="3" t="s">
        <v>3</v>
      </c>
      <c r="B5" s="4"/>
      <c r="C5" s="5"/>
      <c r="D5" s="2"/>
      <c r="E5" s="2"/>
    </row>
    <row r="6" ht="15.75" customHeight="1">
      <c r="A6" s="3" t="s">
        <v>4</v>
      </c>
      <c r="B6" s="4"/>
      <c r="C6" s="5"/>
      <c r="D6" s="2"/>
      <c r="E6" s="2"/>
    </row>
    <row r="7" ht="15.75" customHeight="1">
      <c r="A7" s="3" t="s">
        <v>5</v>
      </c>
      <c r="B7" s="4"/>
      <c r="C7" s="5"/>
      <c r="D7" s="2"/>
      <c r="E7" s="2"/>
    </row>
    <row r="8" ht="15.75" customHeight="1">
      <c r="A8" s="3" t="s">
        <v>6</v>
      </c>
      <c r="B8" s="4"/>
      <c r="C8" s="5"/>
      <c r="D8" s="2"/>
      <c r="E8" s="2"/>
    </row>
    <row r="9" ht="15.75" customHeight="1">
      <c r="A9" s="2"/>
      <c r="B9" s="2"/>
      <c r="C9" s="2"/>
      <c r="D9" s="2"/>
      <c r="E9" s="2"/>
    </row>
    <row r="10" ht="15.75" customHeight="1">
      <c r="A10" s="1" t="s">
        <v>7</v>
      </c>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4:C4"/>
    <mergeCell ref="A5:C5"/>
    <mergeCell ref="A1:E1"/>
    <mergeCell ref="A2:E2"/>
    <mergeCell ref="A6:C6"/>
    <mergeCell ref="A7:C7"/>
    <mergeCell ref="A8:C8"/>
    <mergeCell ref="A10:E1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6" t="s">
        <v>8</v>
      </c>
      <c r="B1" s="7" t="s">
        <v>9</v>
      </c>
      <c r="C1" s="4"/>
      <c r="D1" s="4"/>
      <c r="E1" s="5"/>
    </row>
    <row r="2">
      <c r="A2" s="8"/>
      <c r="B2" s="9" t="s">
        <v>10</v>
      </c>
      <c r="C2" s="9" t="s">
        <v>11</v>
      </c>
      <c r="D2" s="9" t="s">
        <v>12</v>
      </c>
      <c r="E2" s="9" t="s">
        <v>13</v>
      </c>
    </row>
    <row r="3">
      <c r="A3" s="10"/>
      <c r="B3" s="11">
        <v>0.35</v>
      </c>
      <c r="C3" s="11">
        <v>0.25</v>
      </c>
      <c r="D3" s="11">
        <v>0.25</v>
      </c>
      <c r="E3" s="11">
        <v>0.15</v>
      </c>
    </row>
    <row r="4">
      <c r="A4" s="12" t="s">
        <v>14</v>
      </c>
      <c r="B4" s="13">
        <v>70.0</v>
      </c>
      <c r="C4" s="13">
        <v>50.0</v>
      </c>
      <c r="D4" s="13">
        <v>80.0</v>
      </c>
      <c r="E4" s="13">
        <v>60.0</v>
      </c>
    </row>
    <row r="5">
      <c r="A5" s="12" t="s">
        <v>15</v>
      </c>
      <c r="B5" s="13">
        <v>50.0</v>
      </c>
      <c r="C5" s="13">
        <v>60.0</v>
      </c>
      <c r="D5" s="13">
        <v>82.0</v>
      </c>
      <c r="E5" s="13">
        <v>70.0</v>
      </c>
    </row>
    <row r="6">
      <c r="A6" s="12" t="s">
        <v>16</v>
      </c>
      <c r="B6" s="13">
        <v>85.0</v>
      </c>
      <c r="C6" s="13">
        <v>55.0</v>
      </c>
      <c r="D6" s="13">
        <v>80.0</v>
      </c>
      <c r="E6" s="13">
        <v>75.0</v>
      </c>
    </row>
    <row r="7">
      <c r="A7" s="12" t="s">
        <v>17</v>
      </c>
      <c r="B7" s="13">
        <v>82.0</v>
      </c>
      <c r="C7" s="13">
        <v>70.0</v>
      </c>
      <c r="D7" s="13">
        <v>65.0</v>
      </c>
      <c r="E7" s="13">
        <v>85.0</v>
      </c>
    </row>
    <row r="8">
      <c r="A8" s="12" t="s">
        <v>18</v>
      </c>
      <c r="B8" s="13">
        <v>75.0</v>
      </c>
      <c r="C8" s="13">
        <v>75.0</v>
      </c>
      <c r="D8" s="13">
        <v>85.0</v>
      </c>
      <c r="E8" s="13">
        <v>74.0</v>
      </c>
    </row>
    <row r="9">
      <c r="A9" s="12" t="s">
        <v>19</v>
      </c>
      <c r="B9" s="13">
        <v>62.0</v>
      </c>
      <c r="C9" s="13">
        <v>50.0</v>
      </c>
      <c r="D9" s="13">
        <v>75.0</v>
      </c>
      <c r="E9" s="13">
        <v>80.0</v>
      </c>
    </row>
    <row r="10">
      <c r="A10" s="14" t="s">
        <v>20</v>
      </c>
      <c r="B10" s="14">
        <f t="shared" ref="B10:E10" si="1">MAX(B4:B9)</f>
        <v>85</v>
      </c>
      <c r="C10" s="14">
        <f t="shared" si="1"/>
        <v>75</v>
      </c>
      <c r="D10" s="14">
        <f t="shared" si="1"/>
        <v>85</v>
      </c>
      <c r="E10" s="14">
        <f t="shared" si="1"/>
        <v>85</v>
      </c>
    </row>
  </sheetData>
  <mergeCells count="2">
    <mergeCell ref="A1:A3"/>
    <mergeCell ref="B1:E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5" t="s">
        <v>21</v>
      </c>
      <c r="B1" s="4"/>
      <c r="C1" s="4"/>
      <c r="D1" s="4"/>
      <c r="E1" s="5"/>
    </row>
    <row r="2">
      <c r="A2" s="12" t="s">
        <v>14</v>
      </c>
      <c r="B2" s="16">
        <f>Data!B4/Data!$B$10</f>
        <v>0.8235294118</v>
      </c>
      <c r="C2" s="16">
        <f>Data!C4/Data!$C$10</f>
        <v>0.6666666667</v>
      </c>
      <c r="D2" s="16">
        <f>Data!D4/Data!$D$10</f>
        <v>0.9411764706</v>
      </c>
      <c r="E2" s="16">
        <f>Data!E4/Data!$E$10</f>
        <v>0.7058823529</v>
      </c>
    </row>
    <row r="3">
      <c r="A3" s="12" t="s">
        <v>15</v>
      </c>
      <c r="B3" s="16">
        <f>Data!B5/Data!$B$10</f>
        <v>0.5882352941</v>
      </c>
      <c r="C3" s="16">
        <f>Data!C5/Data!$C$10</f>
        <v>0.8</v>
      </c>
      <c r="D3" s="16">
        <f>Data!D5/Data!$D$10</f>
        <v>0.9647058824</v>
      </c>
      <c r="E3" s="16">
        <f>Data!E5/Data!$E$10</f>
        <v>0.8235294118</v>
      </c>
    </row>
    <row r="4">
      <c r="A4" s="12" t="s">
        <v>16</v>
      </c>
      <c r="B4" s="16">
        <f>Data!B6/Data!$B$10</f>
        <v>1</v>
      </c>
      <c r="C4" s="16">
        <f>Data!C6/Data!$C$10</f>
        <v>0.7333333333</v>
      </c>
      <c r="D4" s="16">
        <f>Data!D6/Data!$D$10</f>
        <v>0.9411764706</v>
      </c>
      <c r="E4" s="16">
        <f>Data!E6/Data!$E$10</f>
        <v>0.8823529412</v>
      </c>
    </row>
    <row r="5">
      <c r="A5" s="12" t="s">
        <v>17</v>
      </c>
      <c r="B5" s="16">
        <f>Data!B7/Data!$B$10</f>
        <v>0.9647058824</v>
      </c>
      <c r="C5" s="16">
        <f>Data!C7/Data!$C$10</f>
        <v>0.9333333333</v>
      </c>
      <c r="D5" s="16">
        <f>Data!D7/Data!$D$10</f>
        <v>0.7647058824</v>
      </c>
      <c r="E5" s="16">
        <f>Data!E7/Data!$E$10</f>
        <v>1</v>
      </c>
    </row>
    <row r="6">
      <c r="A6" s="12" t="s">
        <v>18</v>
      </c>
      <c r="B6" s="16">
        <f>Data!B8/Data!$B$10</f>
        <v>0.8823529412</v>
      </c>
      <c r="C6" s="16">
        <f>Data!C8/Data!$C$10</f>
        <v>1</v>
      </c>
      <c r="D6" s="16">
        <f>Data!D8/Data!$D$10</f>
        <v>1</v>
      </c>
      <c r="E6" s="16">
        <f>Data!E8/Data!$E$10</f>
        <v>0.8705882353</v>
      </c>
    </row>
    <row r="7">
      <c r="A7" s="12" t="s">
        <v>19</v>
      </c>
      <c r="B7" s="16">
        <f>Data!B9/Data!$B$10</f>
        <v>0.7294117647</v>
      </c>
      <c r="C7" s="16">
        <f>Data!C9/Data!$C$10</f>
        <v>0.6666666667</v>
      </c>
      <c r="D7" s="16">
        <f>Data!D9/Data!$D$10</f>
        <v>0.8823529412</v>
      </c>
      <c r="E7" s="16">
        <f>Data!E9/Data!$E$10</f>
        <v>0.9411764706</v>
      </c>
    </row>
  </sheetData>
  <mergeCells count="1">
    <mergeCell ref="A1:E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6" t="s">
        <v>8</v>
      </c>
      <c r="B1" s="12" t="s">
        <v>22</v>
      </c>
      <c r="C1" s="17" t="s">
        <v>23</v>
      </c>
    </row>
    <row r="2">
      <c r="A2" s="12" t="s">
        <v>14</v>
      </c>
      <c r="B2" s="16">
        <f>('Normalisasi data'!B2*Data!$B$3)+('Normalisasi data'!C2*Data!$C$3)+('Normalisasi data'!D2*Data!$D$3)+('Normalisasi data'!E2*Data!$E$3)</f>
        <v>0.7960784314</v>
      </c>
      <c r="C2" s="17">
        <v>4.0</v>
      </c>
    </row>
    <row r="3">
      <c r="A3" s="12" t="s">
        <v>15</v>
      </c>
      <c r="B3" s="16">
        <f>('Normalisasi data'!B3*Data!$B$3)+('Normalisasi data'!C3*Data!$C$3)+('Normalisasi data'!D3*Data!$D$3)+('Normalisasi data'!E3*Data!$E$3)</f>
        <v>0.7705882353</v>
      </c>
      <c r="C3" s="17">
        <v>6.0</v>
      </c>
    </row>
    <row r="4">
      <c r="A4" s="12" t="s">
        <v>16</v>
      </c>
      <c r="B4" s="16">
        <f>('Normalisasi data'!B4*Data!$B$3)+('Normalisasi data'!C4*Data!$C$3)+('Normalisasi data'!D4*Data!$D$3)+('Normalisasi data'!E4*Data!$E$3)</f>
        <v>0.9009803922</v>
      </c>
      <c r="C4" s="17">
        <v>3.0</v>
      </c>
    </row>
    <row r="5">
      <c r="A5" s="12" t="s">
        <v>17</v>
      </c>
      <c r="B5" s="16">
        <f>('Normalisasi data'!B5*Data!$B$3)+('Normalisasi data'!C5*Data!$C$3)+('Normalisasi data'!D5*Data!$D$3)+('Normalisasi data'!E5*Data!$E$3)</f>
        <v>0.9121568627</v>
      </c>
      <c r="C5" s="17">
        <v>2.0</v>
      </c>
    </row>
    <row r="6">
      <c r="A6" s="12" t="s">
        <v>18</v>
      </c>
      <c r="B6" s="16">
        <f>('Normalisasi data'!B6*Data!$B$3)+('Normalisasi data'!C6*Data!$C$3)+('Normalisasi data'!D6*Data!$D$3)+('Normalisasi data'!E6*Data!$E$3)</f>
        <v>0.9394117647</v>
      </c>
      <c r="C6" s="17">
        <v>1.0</v>
      </c>
    </row>
    <row r="7">
      <c r="A7" s="12" t="s">
        <v>19</v>
      </c>
      <c r="B7" s="16">
        <f>('Normalisasi data'!B7*Data!$B$3)+('Normalisasi data'!C7*Data!$C$3)+('Normalisasi data'!D7*Data!$D$3)+('Normalisasi data'!E7*Data!$E$3)</f>
        <v>0.7837254902</v>
      </c>
      <c r="C7" s="17">
        <v>5.0</v>
      </c>
    </row>
  </sheetData>
  <drawing r:id="rId1"/>
</worksheet>
</file>