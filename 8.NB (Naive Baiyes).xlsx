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1" sheetId="1" r:id="rId4"/>
    <sheet state="visible" name="Case 2" sheetId="2" r:id="rId5"/>
  </sheets>
  <definedNames/>
  <calcPr/>
  <extLst>
    <ext uri="GoogleSheetsCustomDataVersion2">
      <go:sheetsCustomData xmlns:go="http://customooxmlschemas.google.com/" r:id="rId6" roundtripDataChecksum="oN4GI/enYujr3TjlYbn67LLYgSo5ZEdlICc/LdtNXDo="/>
    </ext>
  </extLst>
</workbook>
</file>

<file path=xl/sharedStrings.xml><?xml version="1.0" encoding="utf-8"?>
<sst xmlns="http://schemas.openxmlformats.org/spreadsheetml/2006/main" count="162" uniqueCount="44">
  <si>
    <t>No</t>
  </si>
  <si>
    <t>Weather</t>
  </si>
  <si>
    <t>Temperature</t>
  </si>
  <si>
    <t>Humidity</t>
  </si>
  <si>
    <t>Wind</t>
  </si>
  <si>
    <t>Play Golf</t>
  </si>
  <si>
    <t>Yes</t>
  </si>
  <si>
    <t>P(Y)</t>
  </si>
  <si>
    <t>P(N)</t>
  </si>
  <si>
    <t>Sunny</t>
  </si>
  <si>
    <t>Falsehood</t>
  </si>
  <si>
    <t>Truth</t>
  </si>
  <si>
    <t>Cloudy</t>
  </si>
  <si>
    <t>Rainy</t>
  </si>
  <si>
    <t>Jumlah</t>
  </si>
  <si>
    <t>Standar Deviasi</t>
  </si>
  <si>
    <t>PLAY GOLF</t>
  </si>
  <si>
    <t>NO</t>
  </si>
  <si>
    <t>YES</t>
  </si>
  <si>
    <t>TESTING</t>
  </si>
  <si>
    <t>Soal</t>
  </si>
  <si>
    <t>Hasil</t>
  </si>
  <si>
    <t xml:space="preserve">Probability </t>
  </si>
  <si>
    <t>Manufacture</t>
  </si>
  <si>
    <t>OS</t>
  </si>
  <si>
    <t>Symptom</t>
  </si>
  <si>
    <t>Problem</t>
  </si>
  <si>
    <t>Problem (Driver)</t>
  </si>
  <si>
    <t>Problem (Hardware)</t>
  </si>
  <si>
    <t>P(D)</t>
  </si>
  <si>
    <t>P(H)</t>
  </si>
  <si>
    <t>Dell</t>
  </si>
  <si>
    <t>Windows95</t>
  </si>
  <si>
    <t>Cant Print</t>
  </si>
  <si>
    <t>Driver</t>
  </si>
  <si>
    <t>Compaq</t>
  </si>
  <si>
    <t>Gateway</t>
  </si>
  <si>
    <t>Linux</t>
  </si>
  <si>
    <t>No Display</t>
  </si>
  <si>
    <t>Hardware</t>
  </si>
  <si>
    <t>Windows 95</t>
  </si>
  <si>
    <t>PROBLEM</t>
  </si>
  <si>
    <t>Prob PROBLEM</t>
  </si>
  <si>
    <t>Probability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</si>
</sst>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"/>
  </numFmts>
  <fonts count="2">
    <font>
      <sz val="10.0"/>
      <color rgb="FF000000"/>
      <name val="Arial"/>
      <scheme val="minor"/>
    </font>
    <font>
      <color theme="1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64" xfId="0" applyFont="1" applyNumberForma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2" width="7.63"/>
    <col customWidth="1" min="3" max="3" width="10.25"/>
    <col customWidth="1" min="4" max="4" width="9.38"/>
    <col customWidth="1" min="5" max="5" width="12.63"/>
    <col customWidth="1" min="6" max="6" width="9.25"/>
    <col customWidth="1" min="7" max="7" width="3.0"/>
    <col customWidth="1" min="10" max="10" width="16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 t="s">
        <v>1</v>
      </c>
      <c r="I1" s="3" t="s">
        <v>6</v>
      </c>
      <c r="J1" s="3" t="s">
        <v>0</v>
      </c>
      <c r="K1" s="3" t="s">
        <v>7</v>
      </c>
      <c r="L1" s="3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>
        <v>1.0</v>
      </c>
      <c r="B2" s="1" t="s">
        <v>9</v>
      </c>
      <c r="C2" s="1">
        <v>85.0</v>
      </c>
      <c r="D2" s="1">
        <v>85.0</v>
      </c>
      <c r="E2" s="1" t="s">
        <v>10</v>
      </c>
      <c r="F2" s="1" t="s">
        <v>0</v>
      </c>
      <c r="G2" s="2"/>
      <c r="H2" s="3" t="s">
        <v>9</v>
      </c>
      <c r="I2" s="3">
        <v>2.0</v>
      </c>
      <c r="J2" s="3">
        <v>3.0</v>
      </c>
      <c r="K2" s="3">
        <f t="shared" ref="K2:K5" si="1">I2/$I$5</f>
        <v>0.2222222222</v>
      </c>
      <c r="L2" s="3">
        <f t="shared" ref="L2:L5" si="2">J2/$J$5</f>
        <v>0.6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>
        <v>2.0</v>
      </c>
      <c r="B3" s="1" t="s">
        <v>9</v>
      </c>
      <c r="C3" s="1">
        <v>80.0</v>
      </c>
      <c r="D3" s="1">
        <v>90.0</v>
      </c>
      <c r="E3" s="1" t="s">
        <v>11</v>
      </c>
      <c r="F3" s="1" t="s">
        <v>0</v>
      </c>
      <c r="G3" s="2"/>
      <c r="H3" s="3" t="s">
        <v>12</v>
      </c>
      <c r="I3" s="3">
        <v>4.0</v>
      </c>
      <c r="J3" s="3">
        <v>0.0</v>
      </c>
      <c r="K3" s="3">
        <f t="shared" si="1"/>
        <v>0.4444444444</v>
      </c>
      <c r="L3" s="3">
        <f t="shared" si="2"/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>
        <v>3.0</v>
      </c>
      <c r="B4" s="1" t="s">
        <v>12</v>
      </c>
      <c r="C4" s="1">
        <v>83.0</v>
      </c>
      <c r="D4" s="1">
        <v>78.0</v>
      </c>
      <c r="E4" s="1" t="s">
        <v>10</v>
      </c>
      <c r="F4" s="1" t="s">
        <v>6</v>
      </c>
      <c r="G4" s="2"/>
      <c r="H4" s="3" t="s">
        <v>13</v>
      </c>
      <c r="I4" s="3">
        <v>3.0</v>
      </c>
      <c r="J4" s="3">
        <v>2.0</v>
      </c>
      <c r="K4" s="3">
        <f t="shared" si="1"/>
        <v>0.3333333333</v>
      </c>
      <c r="L4" s="3">
        <f t="shared" si="2"/>
        <v>0.4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>
        <v>4.0</v>
      </c>
      <c r="B5" s="1" t="s">
        <v>13</v>
      </c>
      <c r="C5" s="1">
        <v>70.0</v>
      </c>
      <c r="D5" s="1">
        <v>96.0</v>
      </c>
      <c r="E5" s="1" t="s">
        <v>10</v>
      </c>
      <c r="F5" s="1" t="s">
        <v>6</v>
      </c>
      <c r="G5" s="2"/>
      <c r="H5" s="3" t="s">
        <v>14</v>
      </c>
      <c r="I5" s="3">
        <f t="shared" ref="I5:J5" si="3">sum(I2:I4)</f>
        <v>9</v>
      </c>
      <c r="J5" s="3">
        <f t="shared" si="3"/>
        <v>5</v>
      </c>
      <c r="K5" s="3">
        <f t="shared" si="1"/>
        <v>1</v>
      </c>
      <c r="L5" s="3">
        <f t="shared" si="2"/>
        <v>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>
        <v>5.0</v>
      </c>
      <c r="B6" s="1" t="s">
        <v>13</v>
      </c>
      <c r="C6" s="1">
        <v>68.0</v>
      </c>
      <c r="D6" s="1">
        <v>80.0</v>
      </c>
      <c r="E6" s="1" t="s">
        <v>10</v>
      </c>
      <c r="F6" s="1" t="s">
        <v>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>
        <v>6.0</v>
      </c>
      <c r="B7" s="1" t="s">
        <v>13</v>
      </c>
      <c r="C7" s="1">
        <v>65.0</v>
      </c>
      <c r="D7" s="1">
        <v>70.0</v>
      </c>
      <c r="E7" s="1" t="s">
        <v>11</v>
      </c>
      <c r="F7" s="1" t="s">
        <v>0</v>
      </c>
      <c r="G7" s="2"/>
      <c r="H7" s="3" t="s">
        <v>4</v>
      </c>
      <c r="I7" s="3" t="s">
        <v>6</v>
      </c>
      <c r="J7" s="3" t="s">
        <v>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>
        <v>7.0</v>
      </c>
      <c r="B8" s="1" t="s">
        <v>12</v>
      </c>
      <c r="C8" s="1">
        <v>64.0</v>
      </c>
      <c r="D8" s="1">
        <v>65.0</v>
      </c>
      <c r="E8" s="1" t="s">
        <v>11</v>
      </c>
      <c r="F8" s="1" t="s">
        <v>6</v>
      </c>
      <c r="G8" s="2"/>
      <c r="H8" s="3" t="s">
        <v>10</v>
      </c>
      <c r="I8" s="3">
        <v>6.0</v>
      </c>
      <c r="J8" s="3">
        <v>2.0</v>
      </c>
      <c r="K8" s="3">
        <f t="shared" ref="K8:K10" si="4">I8/$I$10</f>
        <v>0.6666666667</v>
      </c>
      <c r="L8" s="3">
        <f t="shared" ref="L8:L10" si="5">J8/$J$10</f>
        <v>0.4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>
        <v>8.0</v>
      </c>
      <c r="B9" s="1" t="s">
        <v>9</v>
      </c>
      <c r="C9" s="1">
        <v>72.0</v>
      </c>
      <c r="D9" s="1">
        <v>95.0</v>
      </c>
      <c r="E9" s="1" t="s">
        <v>10</v>
      </c>
      <c r="F9" s="1" t="s">
        <v>0</v>
      </c>
      <c r="G9" s="2"/>
      <c r="H9" s="3" t="s">
        <v>11</v>
      </c>
      <c r="I9" s="3">
        <v>3.0</v>
      </c>
      <c r="J9" s="3">
        <v>3.0</v>
      </c>
      <c r="K9" s="3">
        <f t="shared" si="4"/>
        <v>0.3333333333</v>
      </c>
      <c r="L9" s="3">
        <f t="shared" si="5"/>
        <v>0.6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>
        <v>9.0</v>
      </c>
      <c r="B10" s="1" t="s">
        <v>9</v>
      </c>
      <c r="C10" s="1">
        <v>69.0</v>
      </c>
      <c r="D10" s="1">
        <v>70.0</v>
      </c>
      <c r="E10" s="1" t="s">
        <v>10</v>
      </c>
      <c r="F10" s="1" t="s">
        <v>6</v>
      </c>
      <c r="G10" s="2"/>
      <c r="H10" s="3" t="s">
        <v>14</v>
      </c>
      <c r="I10" s="3">
        <v>9.0</v>
      </c>
      <c r="J10" s="3">
        <v>5.0</v>
      </c>
      <c r="K10" s="3">
        <f t="shared" si="4"/>
        <v>1</v>
      </c>
      <c r="L10" s="3">
        <f t="shared" si="5"/>
        <v>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>
        <v>10.0</v>
      </c>
      <c r="B11" s="1" t="s">
        <v>13</v>
      </c>
      <c r="C11" s="1">
        <v>75.0</v>
      </c>
      <c r="D11" s="1">
        <v>80.0</v>
      </c>
      <c r="E11" s="1" t="s">
        <v>10</v>
      </c>
      <c r="F11" s="1" t="s">
        <v>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>
        <v>11.0</v>
      </c>
      <c r="B12" s="1" t="s">
        <v>9</v>
      </c>
      <c r="C12" s="1">
        <v>75.0</v>
      </c>
      <c r="D12" s="1">
        <v>70.0</v>
      </c>
      <c r="E12" s="1" t="s">
        <v>11</v>
      </c>
      <c r="F12" s="1" t="s">
        <v>6</v>
      </c>
      <c r="G12" s="2"/>
      <c r="H12" s="3" t="s">
        <v>2</v>
      </c>
      <c r="I12" s="2"/>
      <c r="J12" s="3" t="s">
        <v>15</v>
      </c>
      <c r="K12" s="3" t="s">
        <v>3</v>
      </c>
      <c r="L12" s="2"/>
      <c r="M12" s="3" t="s">
        <v>15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>
        <v>12.0</v>
      </c>
      <c r="B13" s="1" t="s">
        <v>12</v>
      </c>
      <c r="C13" s="1">
        <v>72.0</v>
      </c>
      <c r="D13" s="1">
        <v>90.0</v>
      </c>
      <c r="E13" s="1" t="s">
        <v>11</v>
      </c>
      <c r="F13" s="1" t="s">
        <v>6</v>
      </c>
      <c r="G13" s="2"/>
      <c r="H13" s="3" t="s">
        <v>0</v>
      </c>
      <c r="I13" s="3">
        <f>AVERAGEIF(F2:F15,"No",C2:C15)</f>
        <v>74.6</v>
      </c>
      <c r="J13" s="3">
        <f>stdev(C2,C3,C7,C9,C15)</f>
        <v>7.893034904</v>
      </c>
      <c r="K13" s="3" t="s">
        <v>0</v>
      </c>
      <c r="L13" s="3">
        <f>AVERAGEIF(F2:F15,"No",D2:D15)</f>
        <v>84</v>
      </c>
      <c r="M13" s="3">
        <f>stdev(D2:D3,D7,D15,D9)</f>
        <v>9.617692031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>
        <v>13.0</v>
      </c>
      <c r="B14" s="1" t="s">
        <v>12</v>
      </c>
      <c r="C14" s="1">
        <v>81.0</v>
      </c>
      <c r="D14" s="1">
        <v>75.0</v>
      </c>
      <c r="E14" s="1" t="s">
        <v>10</v>
      </c>
      <c r="F14" s="1" t="s">
        <v>6</v>
      </c>
      <c r="G14" s="2"/>
      <c r="H14" s="4" t="s">
        <v>6</v>
      </c>
      <c r="I14" s="3">
        <f>AVERAGEIF(F2:F15,"Yes",C2:C15)</f>
        <v>73</v>
      </c>
      <c r="J14" s="3">
        <f>stdev(C4:C6,C8,C10,C11,C12,C13,C14)</f>
        <v>6.164414003</v>
      </c>
      <c r="K14" s="4" t="s">
        <v>6</v>
      </c>
      <c r="L14" s="3">
        <f>AVERAGEIF(F2:F15,"Yes",D2:D15)</f>
        <v>78.22222222</v>
      </c>
      <c r="M14" s="3">
        <f>stdev(D4:D6,D8,D10:D14)</f>
        <v>9.884050002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>
        <v>14.0</v>
      </c>
      <c r="B15" s="1" t="s">
        <v>13</v>
      </c>
      <c r="C15" s="1">
        <v>71.0</v>
      </c>
      <c r="D15" s="1">
        <v>80.0</v>
      </c>
      <c r="E15" s="1" t="s">
        <v>11</v>
      </c>
      <c r="F15" s="1" t="s"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3" t="s">
        <v>16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3" t="s">
        <v>17</v>
      </c>
      <c r="I17" s="3">
        <f>countif(F2:F15,"No")/rows(F2:F15)</f>
        <v>0.3571428571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3" t="s">
        <v>18</v>
      </c>
      <c r="I18" s="3">
        <f>countif(F2:F16,"Yes")/rows(F2:F15)</f>
        <v>0.6428571429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3">
        <f>sum(I17:I18)</f>
        <v>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3" t="s">
        <v>19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3" t="s">
        <v>20</v>
      </c>
      <c r="I22" s="3" t="s">
        <v>9</v>
      </c>
      <c r="J22" s="3">
        <v>70.0</v>
      </c>
      <c r="K22" s="3">
        <v>60.0</v>
      </c>
      <c r="L22" s="3" t="s">
        <v>11</v>
      </c>
      <c r="M22" s="3" t="s">
        <v>5</v>
      </c>
      <c r="N22" s="3" t="s">
        <v>21</v>
      </c>
      <c r="O22" s="3" t="s">
        <v>22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3" t="s">
        <v>6</v>
      </c>
      <c r="I23" s="3">
        <f>K2</f>
        <v>0.2222222222</v>
      </c>
      <c r="J23" s="3">
        <f>exp(-((J22-I14)^2)/(2*(J14^2)))</f>
        <v>0.8883219436</v>
      </c>
      <c r="K23" s="3">
        <f>exp(-((K22-L14)^2)/(2*(M14^2)))</f>
        <v>0.1827880171</v>
      </c>
      <c r="L23" s="3">
        <f>K9</f>
        <v>0.3333333333</v>
      </c>
      <c r="M23" s="3">
        <v>0.6428571428571429</v>
      </c>
      <c r="N23" s="5">
        <f t="shared" ref="N23:N24" si="6">I23*J23*K23*L23*M23</f>
        <v>0.007732124123</v>
      </c>
      <c r="O23" s="6">
        <f t="shared" ref="O23:O24" si="7">N23/SUM($N$23:$N$24)</f>
        <v>0.6159128387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3" t="s">
        <v>0</v>
      </c>
      <c r="I24" s="3">
        <f>L2</f>
        <v>0.6</v>
      </c>
      <c r="J24" s="3">
        <f>exp(-((J22-I13)^2)/(2*(J13^2)))</f>
        <v>0.8438137914</v>
      </c>
      <c r="K24" s="3">
        <f>exp(-((K22-L13)^2)/(2*(M13^2)))</f>
        <v>0.04444452425</v>
      </c>
      <c r="L24" s="3">
        <f>L9</f>
        <v>0.6</v>
      </c>
      <c r="M24" s="3">
        <v>0.35714285714285715</v>
      </c>
      <c r="N24" s="5">
        <f t="shared" si="6"/>
        <v>0.004821801752</v>
      </c>
      <c r="O24" s="3">
        <f t="shared" si="7"/>
        <v>0.3840871613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.13"/>
    <col customWidth="1" min="8" max="8" width="13.88"/>
    <col customWidth="1" min="9" max="9" width="16.13"/>
  </cols>
  <sheetData>
    <row r="1" ht="15.75" customHeight="1">
      <c r="A1" s="3" t="s">
        <v>0</v>
      </c>
      <c r="B1" s="3" t="s">
        <v>23</v>
      </c>
      <c r="C1" s="3" t="s">
        <v>24</v>
      </c>
      <c r="D1" s="3" t="s">
        <v>25</v>
      </c>
      <c r="E1" s="3" t="s">
        <v>26</v>
      </c>
      <c r="F1" s="2"/>
      <c r="G1" s="3" t="s">
        <v>23</v>
      </c>
      <c r="H1" s="3" t="s">
        <v>27</v>
      </c>
      <c r="I1" s="3" t="s">
        <v>28</v>
      </c>
      <c r="J1" s="3" t="s">
        <v>29</v>
      </c>
      <c r="K1" s="3" t="s">
        <v>30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1.0</v>
      </c>
      <c r="B2" s="3" t="s">
        <v>31</v>
      </c>
      <c r="C2" s="3" t="s">
        <v>32</v>
      </c>
      <c r="D2" s="3" t="s">
        <v>33</v>
      </c>
      <c r="E2" s="3" t="s">
        <v>34</v>
      </c>
      <c r="F2" s="2"/>
      <c r="G2" s="3" t="s">
        <v>31</v>
      </c>
      <c r="H2" s="3">
        <v>3.0</v>
      </c>
      <c r="I2" s="3">
        <v>1.0</v>
      </c>
      <c r="J2" s="3">
        <f t="shared" ref="J2:J5" si="1">H2/$H$5</f>
        <v>0.6</v>
      </c>
      <c r="K2" s="3">
        <f t="shared" ref="K2:K5" si="2">I2/$I$5</f>
        <v>0.2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2.0</v>
      </c>
      <c r="B3" s="3" t="s">
        <v>35</v>
      </c>
      <c r="C3" s="3" t="s">
        <v>32</v>
      </c>
      <c r="D3" s="3" t="s">
        <v>33</v>
      </c>
      <c r="E3" s="3" t="s">
        <v>34</v>
      </c>
      <c r="F3" s="2"/>
      <c r="G3" s="3" t="s">
        <v>35</v>
      </c>
      <c r="H3" s="3">
        <v>1.0</v>
      </c>
      <c r="I3" s="3">
        <v>3.0</v>
      </c>
      <c r="J3" s="3">
        <f t="shared" si="1"/>
        <v>0.2</v>
      </c>
      <c r="K3" s="3">
        <f t="shared" si="2"/>
        <v>0.6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>
        <v>3.0</v>
      </c>
      <c r="B4" s="3" t="s">
        <v>31</v>
      </c>
      <c r="C4" s="3" t="s">
        <v>32</v>
      </c>
      <c r="D4" s="3" t="s">
        <v>33</v>
      </c>
      <c r="E4" s="3" t="s">
        <v>34</v>
      </c>
      <c r="F4" s="2"/>
      <c r="G4" s="3" t="s">
        <v>36</v>
      </c>
      <c r="H4" s="3">
        <v>1.0</v>
      </c>
      <c r="I4" s="3">
        <v>1.0</v>
      </c>
      <c r="J4" s="3">
        <f t="shared" si="1"/>
        <v>0.2</v>
      </c>
      <c r="K4" s="3">
        <f t="shared" si="2"/>
        <v>0.2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>
        <v>4.0</v>
      </c>
      <c r="B5" s="3" t="s">
        <v>36</v>
      </c>
      <c r="C5" s="3" t="s">
        <v>37</v>
      </c>
      <c r="D5" s="3" t="s">
        <v>33</v>
      </c>
      <c r="E5" s="3" t="s">
        <v>34</v>
      </c>
      <c r="F5" s="2"/>
      <c r="G5" s="2"/>
      <c r="H5" s="3">
        <v>5.0</v>
      </c>
      <c r="I5" s="3">
        <v>5.0</v>
      </c>
      <c r="J5" s="3">
        <f t="shared" si="1"/>
        <v>1</v>
      </c>
      <c r="K5" s="3">
        <f t="shared" si="2"/>
        <v>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>
        <v>5.0</v>
      </c>
      <c r="B6" s="3" t="s">
        <v>31</v>
      </c>
      <c r="C6" s="3" t="s">
        <v>32</v>
      </c>
      <c r="D6" s="3" t="s">
        <v>33</v>
      </c>
      <c r="E6" s="3" t="s">
        <v>34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>
        <v>6.0</v>
      </c>
      <c r="B7" s="3" t="s">
        <v>35</v>
      </c>
      <c r="C7" s="3" t="s">
        <v>32</v>
      </c>
      <c r="D7" s="3" t="s">
        <v>38</v>
      </c>
      <c r="E7" s="3" t="s">
        <v>39</v>
      </c>
      <c r="F7" s="2"/>
      <c r="G7" s="3" t="s">
        <v>24</v>
      </c>
      <c r="H7" s="3" t="s">
        <v>27</v>
      </c>
      <c r="I7" s="3" t="s">
        <v>28</v>
      </c>
      <c r="J7" s="3" t="s">
        <v>29</v>
      </c>
      <c r="K7" s="3" t="s">
        <v>30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>
        <v>7.0</v>
      </c>
      <c r="B8" s="3" t="s">
        <v>36</v>
      </c>
      <c r="C8" s="3" t="s">
        <v>37</v>
      </c>
      <c r="D8" s="3" t="s">
        <v>33</v>
      </c>
      <c r="E8" s="3" t="s">
        <v>39</v>
      </c>
      <c r="F8" s="2"/>
      <c r="G8" s="3" t="s">
        <v>40</v>
      </c>
      <c r="H8" s="3">
        <v>4.0</v>
      </c>
      <c r="I8" s="3">
        <v>4.0</v>
      </c>
      <c r="J8" s="3">
        <f t="shared" ref="J8:J10" si="3">H8/$H$10</f>
        <v>0.8</v>
      </c>
      <c r="K8" s="3">
        <f t="shared" ref="K8:K10" si="4">I8/$I$10</f>
        <v>0.8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>
        <v>8.0</v>
      </c>
      <c r="B9" s="3" t="s">
        <v>31</v>
      </c>
      <c r="C9" s="3" t="s">
        <v>32</v>
      </c>
      <c r="D9" s="3" t="s">
        <v>38</v>
      </c>
      <c r="E9" s="3" t="s">
        <v>39</v>
      </c>
      <c r="F9" s="2"/>
      <c r="G9" s="3" t="s">
        <v>37</v>
      </c>
      <c r="H9" s="3">
        <v>1.0</v>
      </c>
      <c r="I9" s="3">
        <v>1.0</v>
      </c>
      <c r="J9" s="3">
        <f t="shared" si="3"/>
        <v>0.2</v>
      </c>
      <c r="K9" s="3">
        <f t="shared" si="4"/>
        <v>0.2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>
        <v>9.0</v>
      </c>
      <c r="B10" s="3" t="s">
        <v>35</v>
      </c>
      <c r="C10" s="3" t="s">
        <v>32</v>
      </c>
      <c r="D10" s="3" t="s">
        <v>33</v>
      </c>
      <c r="E10" s="3" t="s">
        <v>39</v>
      </c>
      <c r="F10" s="2"/>
      <c r="G10" s="2"/>
      <c r="H10" s="3">
        <v>5.0</v>
      </c>
      <c r="I10" s="3">
        <v>5.0</v>
      </c>
      <c r="J10" s="3">
        <f t="shared" si="3"/>
        <v>1</v>
      </c>
      <c r="K10" s="3">
        <f t="shared" si="4"/>
        <v>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>
        <v>10.0</v>
      </c>
      <c r="B11" s="3" t="s">
        <v>35</v>
      </c>
      <c r="C11" s="3" t="s">
        <v>32</v>
      </c>
      <c r="D11" s="3" t="s">
        <v>33</v>
      </c>
      <c r="E11" s="3" t="s">
        <v>39</v>
      </c>
      <c r="F11" s="2"/>
      <c r="G11" s="3" t="s">
        <v>25</v>
      </c>
      <c r="H11" s="3" t="s">
        <v>27</v>
      </c>
      <c r="I11" s="3" t="s">
        <v>28</v>
      </c>
      <c r="J11" s="3" t="s">
        <v>29</v>
      </c>
      <c r="K11" s="3" t="s">
        <v>30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3" t="s">
        <v>33</v>
      </c>
      <c r="H12" s="3">
        <v>5.0</v>
      </c>
      <c r="I12" s="3">
        <v>3.0</v>
      </c>
      <c r="J12" s="3">
        <f t="shared" ref="J12:J14" si="5">H12/$H$14</f>
        <v>1</v>
      </c>
      <c r="K12" s="3">
        <f t="shared" ref="K12:K14" si="6">I12/$I$14</f>
        <v>0.6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3" t="s">
        <v>38</v>
      </c>
      <c r="H13" s="3">
        <v>0.0</v>
      </c>
      <c r="I13" s="3">
        <v>3.0</v>
      </c>
      <c r="J13" s="3">
        <f t="shared" si="5"/>
        <v>0</v>
      </c>
      <c r="K13" s="3">
        <f t="shared" si="6"/>
        <v>0.6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3">
        <v>5.0</v>
      </c>
      <c r="I14" s="3">
        <v>5.0</v>
      </c>
      <c r="J14" s="3">
        <f t="shared" si="5"/>
        <v>1</v>
      </c>
      <c r="K14" s="3">
        <f t="shared" si="6"/>
        <v>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3" t="s">
        <v>41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3" t="s">
        <v>34</v>
      </c>
      <c r="H16" s="3">
        <f>countif(E2:E11,"Driver")/rows(E2:E11)</f>
        <v>0.5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3" t="s">
        <v>39</v>
      </c>
      <c r="H17" s="3">
        <f>countif(E2:E11,"Hardware")/rows(E2:E11)</f>
        <v>0.5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3">
        <f>sum(H16:H17)</f>
        <v>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3" t="s">
        <v>19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3" t="s">
        <v>20</v>
      </c>
      <c r="H20" s="3" t="s">
        <v>31</v>
      </c>
      <c r="I20" s="3" t="s">
        <v>37</v>
      </c>
      <c r="J20" s="3" t="s">
        <v>33</v>
      </c>
      <c r="K20" s="3" t="s">
        <v>42</v>
      </c>
      <c r="L20" s="3" t="s">
        <v>43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3" t="s">
        <v>34</v>
      </c>
      <c r="H21" s="3">
        <f>J2</f>
        <v>0.6</v>
      </c>
      <c r="I21" s="3">
        <f>J9</f>
        <v>0.2</v>
      </c>
      <c r="J21" s="3">
        <f>J12</f>
        <v>1</v>
      </c>
      <c r="K21" s="3">
        <f t="shared" ref="K21:K22" si="7">H16</f>
        <v>0.5</v>
      </c>
      <c r="L21" s="3">
        <f t="shared" ref="L21:L22" si="8">H21*I21*J21*K21</f>
        <v>0.06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3" t="s">
        <v>39</v>
      </c>
      <c r="H22" s="3">
        <f>K2</f>
        <v>0.2</v>
      </c>
      <c r="I22" s="3">
        <f>K9</f>
        <v>0.2</v>
      </c>
      <c r="J22" s="3">
        <f>K12</f>
        <v>0.6</v>
      </c>
      <c r="K22" s="3">
        <f t="shared" si="7"/>
        <v>0.5</v>
      </c>
      <c r="L22" s="3">
        <f t="shared" si="8"/>
        <v>0.012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