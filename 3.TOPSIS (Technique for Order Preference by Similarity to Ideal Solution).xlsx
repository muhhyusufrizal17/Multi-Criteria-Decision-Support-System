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e 1" sheetId="1" r:id="rId4"/>
  </sheets>
  <definedNames/>
  <calcPr/>
  <extLst>
    <ext uri="GoogleSheetsCustomDataVersion2">
      <go:sheetsCustomData xmlns:go="http://customooxmlschemas.google.com/" r:id="rId5" roundtripDataChecksum="sUP+ZvjvPyF9VIm/tr210ZOpivAx1q0ysLntaM/xLUQ="/>
    </ext>
  </extLst>
</workbook>
</file>

<file path=xl/sharedStrings.xml><?xml version="1.0" encoding="utf-8"?>
<sst xmlns="http://schemas.openxmlformats.org/spreadsheetml/2006/main" count="52" uniqueCount="24">
  <si>
    <t>Bobot</t>
  </si>
  <si>
    <t>BIAYA</t>
  </si>
  <si>
    <t>Alternatif</t>
  </si>
  <si>
    <t>KRITERIA</t>
  </si>
  <si>
    <t>KEUNTUNGAN</t>
  </si>
  <si>
    <t>C1 (Juta)</t>
  </si>
  <si>
    <t>C2</t>
  </si>
  <si>
    <t>C3</t>
  </si>
  <si>
    <t>C4</t>
  </si>
  <si>
    <t>C5</t>
  </si>
  <si>
    <t>Investor A1</t>
  </si>
  <si>
    <t>Investor A2</t>
  </si>
  <si>
    <t>Investor A3</t>
  </si>
  <si>
    <t>Investor A4</t>
  </si>
  <si>
    <t>Normalisasi dengan cara = (Nilai A1/((Nilai A1^2)+(Nilai A2^2)+...+(Nilai N^2))^0.5</t>
  </si>
  <si>
    <t>Kalikan hasil normalisasi dengan persentase kepentingan pada setiap alternatif sesuai dengan kriteria</t>
  </si>
  <si>
    <t>Value +</t>
  </si>
  <si>
    <t>- Jika kriteria biaya, value max menggunakan MIN, dan sebaliknya</t>
  </si>
  <si>
    <t>Value -</t>
  </si>
  <si>
    <t>- Jika kriteria keuntungan, value max tetap menggunakan MAX</t>
  </si>
  <si>
    <t>SI+ (v+)</t>
  </si>
  <si>
    <t>Si- (v-)</t>
  </si>
  <si>
    <t>Pi</t>
  </si>
  <si>
    <t>RANK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</si>
</sst>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4.0"/>
      <color theme="1"/>
      <name val="Comfortaa"/>
    </font>
    <font>
      <color theme="1"/>
      <name val="Arial"/>
    </font>
    <font>
      <sz val="14.0"/>
      <color rgb="FFFF0000"/>
      <name val="Comfortaa"/>
    </font>
    <font>
      <sz val="14.0"/>
      <color rgb="FF38761D"/>
      <name val="Comfortaa"/>
    </font>
    <font>
      <sz val="14.0"/>
      <color rgb="FF6AA84F"/>
      <name val="Comfortaa"/>
    </font>
    <font>
      <color theme="1"/>
      <name val="Arial"/>
      <scheme val="minor"/>
    </font>
    <font>
      <color theme="1"/>
      <name val="Comfortaa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C0000"/>
        <bgColor rgb="FFCC0000"/>
      </patternFill>
    </fill>
    <fill>
      <patternFill patternType="solid">
        <fgColor rgb="FF38761D"/>
        <bgColor rgb="FF38761D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9" xfId="0" applyAlignment="1" applyFont="1" applyNumberFormat="1">
      <alignment horizontal="center" vertical="center"/>
    </xf>
    <xf borderId="0" fillId="2" fontId="2" numFmtId="0" xfId="0" applyFill="1" applyFont="1"/>
    <xf borderId="0" fillId="3" fontId="2" numFmtId="0" xfId="0" applyFill="1" applyFont="1"/>
    <xf borderId="0" fillId="0" fontId="2" numFmtId="0" xfId="0" applyFont="1"/>
    <xf borderId="0" fillId="4" fontId="2" numFmtId="0" xfId="0" applyFill="1" applyFont="1"/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2" fontId="1" numFmtId="0" xfId="0" applyFont="1"/>
    <xf borderId="0" fillId="0" fontId="3" numFmtId="2" xfId="0" applyFont="1" applyNumberFormat="1"/>
    <xf borderId="0" fillId="0" fontId="5" numFmtId="2" xfId="0" applyFont="1" applyNumberFormat="1"/>
    <xf borderId="0" fillId="0" fontId="6" numFmtId="0" xfId="0" applyAlignment="1" applyFont="1">
      <alignment readingOrder="0"/>
    </xf>
    <xf borderId="0" fillId="0" fontId="4" numFmtId="2" xfId="0" applyFont="1" applyNumberFormat="1"/>
    <xf borderId="0" fillId="0" fontId="1" numFmtId="0" xfId="0" applyFont="1"/>
    <xf borderId="0" fillId="0" fontId="1" numFmtId="2" xfId="0" applyFont="1" applyNumberFormat="1"/>
    <xf borderId="0" fillId="0" fontId="7" numFmtId="0" xfId="0" applyFont="1"/>
    <xf borderId="0" fillId="0" fontId="7" numFmtId="0" xfId="0" applyFont="1"/>
    <xf borderId="0" fillId="0" fontId="7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13"/>
    <col customWidth="1" min="2" max="6" width="12.63"/>
    <col customWidth="1" min="7" max="7" width="1.25"/>
  </cols>
  <sheetData>
    <row r="1" ht="15.75" customHeight="1">
      <c r="A1" s="1" t="s">
        <v>0</v>
      </c>
      <c r="B1" s="2">
        <v>0.25</v>
      </c>
      <c r="C1" s="2">
        <v>0.15</v>
      </c>
      <c r="D1" s="2">
        <v>0.3</v>
      </c>
      <c r="E1" s="2">
        <v>0.25</v>
      </c>
      <c r="F1" s="2">
        <v>0.05</v>
      </c>
      <c r="G1" s="3"/>
      <c r="H1" s="4"/>
      <c r="I1" s="5" t="s">
        <v>1</v>
      </c>
    </row>
    <row r="2" ht="15.75" customHeight="1">
      <c r="A2" s="1" t="s">
        <v>2</v>
      </c>
      <c r="B2" s="1" t="s">
        <v>3</v>
      </c>
      <c r="G2" s="3"/>
      <c r="H2" s="6"/>
      <c r="I2" s="5" t="s">
        <v>4</v>
      </c>
    </row>
    <row r="3" ht="15.75" customHeight="1">
      <c r="B3" s="7" t="s">
        <v>5</v>
      </c>
      <c r="C3" s="8" t="s">
        <v>6</v>
      </c>
      <c r="D3" s="8" t="s">
        <v>7</v>
      </c>
      <c r="E3" s="7" t="s">
        <v>8</v>
      </c>
      <c r="F3" s="8" t="s">
        <v>9</v>
      </c>
      <c r="G3" s="3"/>
    </row>
    <row r="4" ht="15.75" customHeight="1">
      <c r="A4" s="9" t="s">
        <v>10</v>
      </c>
      <c r="B4" s="7">
        <v>1.5E8</v>
      </c>
      <c r="C4" s="8">
        <v>15.0</v>
      </c>
      <c r="D4" s="8">
        <v>2.0</v>
      </c>
      <c r="E4" s="7">
        <v>2.0</v>
      </c>
      <c r="F4" s="8">
        <v>3.0</v>
      </c>
      <c r="G4" s="3"/>
    </row>
    <row r="5" ht="15.75" customHeight="1">
      <c r="A5" s="9" t="s">
        <v>11</v>
      </c>
      <c r="B5" s="7">
        <v>5.0E8</v>
      </c>
      <c r="C5" s="8">
        <v>200.0</v>
      </c>
      <c r="D5" s="8">
        <v>2.0</v>
      </c>
      <c r="E5" s="7">
        <v>3.0</v>
      </c>
      <c r="F5" s="8">
        <v>2.0</v>
      </c>
      <c r="G5" s="3"/>
    </row>
    <row r="6" ht="15.75" customHeight="1">
      <c r="A6" s="9" t="s">
        <v>12</v>
      </c>
      <c r="B6" s="7">
        <v>2.0E8</v>
      </c>
      <c r="C6" s="8">
        <v>10.0</v>
      </c>
      <c r="D6" s="8">
        <v>3.0</v>
      </c>
      <c r="E6" s="7">
        <v>1.0</v>
      </c>
      <c r="F6" s="8">
        <v>3.0</v>
      </c>
      <c r="G6" s="3"/>
    </row>
    <row r="7" ht="15.75" customHeight="1">
      <c r="A7" s="9" t="s">
        <v>13</v>
      </c>
      <c r="B7" s="7">
        <v>3.5E8</v>
      </c>
      <c r="C7" s="8">
        <v>100.0</v>
      </c>
      <c r="D7" s="8">
        <v>3.0</v>
      </c>
      <c r="E7" s="7">
        <v>1.0</v>
      </c>
      <c r="F7" s="8">
        <v>2.0</v>
      </c>
      <c r="G7" s="3"/>
    </row>
    <row r="8" ht="7.5" customHeight="1">
      <c r="A8" s="10"/>
      <c r="B8" s="10"/>
      <c r="C8" s="10"/>
      <c r="D8" s="10"/>
      <c r="E8" s="10"/>
      <c r="F8" s="10"/>
      <c r="G8" s="3"/>
    </row>
    <row r="9" ht="15.75" customHeight="1">
      <c r="A9" s="1" t="s">
        <v>0</v>
      </c>
      <c r="B9" s="2">
        <v>0.25</v>
      </c>
      <c r="C9" s="2">
        <v>0.15</v>
      </c>
      <c r="D9" s="2">
        <v>0.3</v>
      </c>
      <c r="E9" s="2">
        <v>0.25</v>
      </c>
      <c r="F9" s="2">
        <v>0.05</v>
      </c>
      <c r="G9" s="3"/>
      <c r="H9" s="5" t="s">
        <v>14</v>
      </c>
    </row>
    <row r="10" ht="15.75" customHeight="1">
      <c r="A10" s="1" t="s">
        <v>2</v>
      </c>
      <c r="B10" s="1" t="s">
        <v>3</v>
      </c>
      <c r="G10" s="3"/>
      <c r="H10" s="5"/>
    </row>
    <row r="11" ht="15.75" customHeight="1">
      <c r="B11" s="7" t="s">
        <v>5</v>
      </c>
      <c r="C11" s="8" t="s">
        <v>6</v>
      </c>
      <c r="D11" s="8" t="s">
        <v>7</v>
      </c>
      <c r="E11" s="7" t="s">
        <v>8</v>
      </c>
      <c r="F11" s="8" t="s">
        <v>9</v>
      </c>
      <c r="G11" s="3"/>
      <c r="H11" s="5"/>
    </row>
    <row r="12" ht="15.75" customHeight="1">
      <c r="A12" s="9" t="s">
        <v>10</v>
      </c>
      <c r="B12" s="11">
        <f t="shared" ref="B12:B15" si="1">B4/(($B$4^2)+($B$5^2)+($B$6^2)+($B$7^2))^0.5</f>
        <v>0.2274294131</v>
      </c>
      <c r="C12" s="12">
        <f t="shared" ref="C12:C15" si="2">C4/(($C$4^2)+($C$5^2)+($C$6^2)+($C$7^2))^0.5</f>
        <v>0.0668650798</v>
      </c>
      <c r="D12" s="12">
        <f t="shared" ref="D12:D15" si="3">D4/(($D$4^2)+($D$5^2)+($D$6^2)+($D$7^2))^0.5</f>
        <v>0.3922322703</v>
      </c>
      <c r="E12" s="11">
        <f t="shared" ref="E12:E15" si="4">E4/(($E$4^2)+($E$5^2)+($E$6^2)+($E$7^2))^0.5</f>
        <v>0.5163977795</v>
      </c>
      <c r="F12" s="12">
        <f t="shared" ref="F12:F15" si="5">F4/(($F$4^2)+($F$5^2)+($F$6^2)+($F$7^2))^0.5</f>
        <v>0.5883484054</v>
      </c>
      <c r="G12" s="3"/>
      <c r="H12" s="5"/>
    </row>
    <row r="13" ht="15.75" customHeight="1">
      <c r="A13" s="9" t="s">
        <v>11</v>
      </c>
      <c r="B13" s="11">
        <f t="shared" si="1"/>
        <v>0.7580980436</v>
      </c>
      <c r="C13" s="12">
        <f t="shared" si="2"/>
        <v>0.8915343974</v>
      </c>
      <c r="D13" s="12">
        <f t="shared" si="3"/>
        <v>0.3922322703</v>
      </c>
      <c r="E13" s="11">
        <f t="shared" si="4"/>
        <v>0.7745966692</v>
      </c>
      <c r="F13" s="12">
        <f t="shared" si="5"/>
        <v>0.3922322703</v>
      </c>
      <c r="G13" s="3"/>
    </row>
    <row r="14" ht="15.75" customHeight="1">
      <c r="A14" s="9" t="s">
        <v>12</v>
      </c>
      <c r="B14" s="11">
        <f t="shared" si="1"/>
        <v>0.3032392174</v>
      </c>
      <c r="C14" s="12">
        <f t="shared" si="2"/>
        <v>0.04457671987</v>
      </c>
      <c r="D14" s="12">
        <f t="shared" si="3"/>
        <v>0.5883484054</v>
      </c>
      <c r="E14" s="11">
        <f t="shared" si="4"/>
        <v>0.2581988897</v>
      </c>
      <c r="F14" s="12">
        <f t="shared" si="5"/>
        <v>0.5883484054</v>
      </c>
      <c r="G14" s="3"/>
    </row>
    <row r="15" ht="15.75" customHeight="1">
      <c r="A15" s="9" t="s">
        <v>13</v>
      </c>
      <c r="B15" s="11">
        <f t="shared" si="1"/>
        <v>0.5306686305</v>
      </c>
      <c r="C15" s="12">
        <f t="shared" si="2"/>
        <v>0.4457671987</v>
      </c>
      <c r="D15" s="12">
        <f t="shared" si="3"/>
        <v>0.5883484054</v>
      </c>
      <c r="E15" s="11">
        <f t="shared" si="4"/>
        <v>0.2581988897</v>
      </c>
      <c r="F15" s="12">
        <f t="shared" si="5"/>
        <v>0.3922322703</v>
      </c>
      <c r="G15" s="3"/>
    </row>
    <row r="16" ht="7.5" customHeight="1">
      <c r="A16" s="10"/>
      <c r="B16" s="10"/>
      <c r="C16" s="10"/>
      <c r="D16" s="10"/>
      <c r="E16" s="10"/>
      <c r="F16" s="10"/>
      <c r="G16" s="3"/>
    </row>
    <row r="17" ht="15.75" customHeight="1">
      <c r="A17" s="1" t="s">
        <v>0</v>
      </c>
      <c r="B17" s="2">
        <v>0.25</v>
      </c>
      <c r="C17" s="2">
        <v>0.15</v>
      </c>
      <c r="D17" s="2">
        <v>0.3</v>
      </c>
      <c r="E17" s="2">
        <v>0.25</v>
      </c>
      <c r="F17" s="2">
        <v>0.05</v>
      </c>
      <c r="G17" s="3"/>
      <c r="H17" s="13" t="s">
        <v>15</v>
      </c>
    </row>
    <row r="18" ht="15.75" customHeight="1">
      <c r="A18" s="1" t="s">
        <v>2</v>
      </c>
      <c r="B18" s="1" t="s">
        <v>3</v>
      </c>
      <c r="G18" s="3"/>
    </row>
    <row r="19" ht="15.75" customHeight="1">
      <c r="B19" s="7" t="s">
        <v>5</v>
      </c>
      <c r="C19" s="8" t="s">
        <v>6</v>
      </c>
      <c r="D19" s="8" t="s">
        <v>7</v>
      </c>
      <c r="E19" s="7" t="s">
        <v>8</v>
      </c>
      <c r="F19" s="8" t="s">
        <v>9</v>
      </c>
      <c r="G19" s="3"/>
    </row>
    <row r="20" ht="15.75" customHeight="1">
      <c r="A20" s="9" t="s">
        <v>10</v>
      </c>
      <c r="B20" s="11">
        <f t="shared" ref="B20:B23" si="6">B12*$B$9</f>
        <v>0.05685735327</v>
      </c>
      <c r="C20" s="14">
        <f t="shared" ref="C20:C23" si="7">C12*$C$9</f>
        <v>0.01002976197</v>
      </c>
      <c r="D20" s="14">
        <f t="shared" ref="D20:D23" si="8">D12*$D$9</f>
        <v>0.1176696811</v>
      </c>
      <c r="E20" s="11">
        <f t="shared" ref="E20:E23" si="9">E12*$E$9</f>
        <v>0.1290994449</v>
      </c>
      <c r="F20" s="14">
        <f t="shared" ref="F20:F23" si="10">F12*$F$9</f>
        <v>0.02941742027</v>
      </c>
      <c r="G20" s="3"/>
    </row>
    <row r="21" ht="15.75" customHeight="1">
      <c r="A21" s="9" t="s">
        <v>11</v>
      </c>
      <c r="B21" s="11">
        <f t="shared" si="6"/>
        <v>0.1895245109</v>
      </c>
      <c r="C21" s="14">
        <f t="shared" si="7"/>
        <v>0.1337301596</v>
      </c>
      <c r="D21" s="14">
        <f t="shared" si="8"/>
        <v>0.1176696811</v>
      </c>
      <c r="E21" s="11">
        <f t="shared" si="9"/>
        <v>0.1936491673</v>
      </c>
      <c r="F21" s="14">
        <f t="shared" si="10"/>
        <v>0.01961161351</v>
      </c>
      <c r="G21" s="3"/>
    </row>
    <row r="22" ht="15.75" customHeight="1">
      <c r="A22" s="9" t="s">
        <v>12</v>
      </c>
      <c r="B22" s="11">
        <f t="shared" si="6"/>
        <v>0.07580980436</v>
      </c>
      <c r="C22" s="14">
        <f t="shared" si="7"/>
        <v>0.00668650798</v>
      </c>
      <c r="D22" s="14">
        <f t="shared" si="8"/>
        <v>0.1765045216</v>
      </c>
      <c r="E22" s="11">
        <f t="shared" si="9"/>
        <v>0.06454972244</v>
      </c>
      <c r="F22" s="14">
        <f t="shared" si="10"/>
        <v>0.02941742027</v>
      </c>
      <c r="G22" s="3"/>
    </row>
    <row r="23" ht="15.75" customHeight="1">
      <c r="A23" s="9" t="s">
        <v>13</v>
      </c>
      <c r="B23" s="11">
        <f t="shared" si="6"/>
        <v>0.1326671576</v>
      </c>
      <c r="C23" s="14">
        <f t="shared" si="7"/>
        <v>0.0668650798</v>
      </c>
      <c r="D23" s="14">
        <f t="shared" si="8"/>
        <v>0.1765045216</v>
      </c>
      <c r="E23" s="11">
        <f t="shared" si="9"/>
        <v>0.06454972244</v>
      </c>
      <c r="F23" s="14">
        <f t="shared" si="10"/>
        <v>0.01961161351</v>
      </c>
      <c r="G23" s="3"/>
    </row>
    <row r="24" ht="8.25" customHeight="1">
      <c r="A24" s="10"/>
      <c r="B24" s="10"/>
      <c r="C24" s="10"/>
      <c r="D24" s="10"/>
      <c r="E24" s="10"/>
      <c r="F24" s="10"/>
      <c r="G24" s="3"/>
    </row>
    <row r="25" ht="15.75" customHeight="1">
      <c r="A25" s="15" t="s">
        <v>16</v>
      </c>
      <c r="B25" s="16">
        <f>min($B$20:$B$23)</f>
        <v>0.05685735327</v>
      </c>
      <c r="C25" s="16">
        <f>max($C$20:$C$23)</f>
        <v>0.1337301596</v>
      </c>
      <c r="D25" s="16">
        <f>max(D$20:D$23)</f>
        <v>0.1765045216</v>
      </c>
      <c r="E25" s="16">
        <f>min($E$20:$E$23)</f>
        <v>0.06454972244</v>
      </c>
      <c r="F25" s="16">
        <f>max($F$20:$F$23)</f>
        <v>0.02941742027</v>
      </c>
      <c r="G25" s="3"/>
      <c r="H25" s="5" t="s">
        <v>17</v>
      </c>
    </row>
    <row r="26" ht="15.75" customHeight="1">
      <c r="A26" s="15" t="s">
        <v>18</v>
      </c>
      <c r="B26" s="16">
        <f>max($B$20:$B$23)</f>
        <v>0.1895245109</v>
      </c>
      <c r="C26" s="16">
        <f>min($C$20:$C$23)</f>
        <v>0.00668650798</v>
      </c>
      <c r="D26" s="16">
        <f>min($D$20:$D$23)</f>
        <v>0.1176696811</v>
      </c>
      <c r="E26" s="16">
        <f>max($E$20:$E$23)</f>
        <v>0.1936491673</v>
      </c>
      <c r="F26" s="16">
        <f>min($F$20:$F$23)</f>
        <v>0.01961161351</v>
      </c>
      <c r="G26" s="3"/>
      <c r="H26" s="5" t="s">
        <v>19</v>
      </c>
    </row>
    <row r="27" ht="12.0" customHeight="1">
      <c r="A27" s="3"/>
      <c r="B27" s="3"/>
      <c r="C27" s="3"/>
      <c r="D27" s="3"/>
      <c r="E27" s="3"/>
      <c r="F27" s="3"/>
      <c r="G27" s="3"/>
    </row>
    <row r="28" ht="15.75" customHeight="1">
      <c r="A28" s="17"/>
      <c r="B28" s="18" t="s">
        <v>20</v>
      </c>
      <c r="C28" s="18" t="s">
        <v>21</v>
      </c>
      <c r="D28" s="18" t="s">
        <v>22</v>
      </c>
      <c r="E28" s="18" t="s">
        <v>23</v>
      </c>
    </row>
    <row r="29" ht="15.75" customHeight="1">
      <c r="A29" s="9" t="s">
        <v>10</v>
      </c>
      <c r="B29" s="19">
        <f t="shared" ref="B29:B32" si="11">((B20-$B$25)^2+(C20-$C$25)^2+(D20-$D$25)^2+(E20-$E$25)^2+(F20-$F$25)^2)^0.5</f>
        <v>0.1514265284</v>
      </c>
      <c r="C29" s="19">
        <f t="shared" ref="C29:C32" si="12">((B20-$B$26)^2+(C20-$C$26)^2+(D20-$D$26)^2+(E20-$E$26)^2+(F20-$F$26)^2)^0.5</f>
        <v>0.1479005496</v>
      </c>
      <c r="D29" s="19">
        <f t="shared" ref="D29:D32" si="13">C29/(B29+C29)</f>
        <v>0.4941101573</v>
      </c>
      <c r="E29" s="18">
        <v>3.0</v>
      </c>
    </row>
    <row r="30" ht="15.75" customHeight="1">
      <c r="A30" s="9" t="s">
        <v>11</v>
      </c>
      <c r="B30" s="19">
        <f t="shared" si="11"/>
        <v>0.1944863329</v>
      </c>
      <c r="C30" s="19">
        <f t="shared" si="12"/>
        <v>0.1270436516</v>
      </c>
      <c r="D30" s="19">
        <f t="shared" si="13"/>
        <v>0.3951222522</v>
      </c>
      <c r="E30" s="18">
        <v>4.0</v>
      </c>
    </row>
    <row r="31" ht="15.75" customHeight="1">
      <c r="A31" s="9" t="s">
        <v>12</v>
      </c>
      <c r="B31" s="19">
        <f t="shared" si="11"/>
        <v>0.1284495419</v>
      </c>
      <c r="C31" s="19">
        <f t="shared" si="12"/>
        <v>0.1820862253</v>
      </c>
      <c r="D31" s="19">
        <f t="shared" si="13"/>
        <v>0.5863615227</v>
      </c>
      <c r="E31" s="18">
        <v>2.0</v>
      </c>
    </row>
    <row r="32" ht="15.75" customHeight="1">
      <c r="A32" s="9" t="s">
        <v>13</v>
      </c>
      <c r="B32" s="19">
        <f t="shared" si="11"/>
        <v>0.1015589444</v>
      </c>
      <c r="C32" s="19">
        <f t="shared" si="12"/>
        <v>0.1642632773</v>
      </c>
      <c r="D32" s="19">
        <f t="shared" si="13"/>
        <v>0.6179441141</v>
      </c>
      <c r="E32" s="18">
        <v>1.0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F2"/>
    <mergeCell ref="A2:A3"/>
    <mergeCell ref="B18:F18"/>
    <mergeCell ref="A18:A19"/>
    <mergeCell ref="B10:F10"/>
    <mergeCell ref="A10:A11"/>
  </mergeCells>
  <drawing r:id="rId1"/>
</worksheet>
</file>